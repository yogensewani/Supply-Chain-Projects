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n\Documents\Yuva Intern Tasks\"/>
    </mc:Choice>
  </mc:AlternateContent>
  <xr:revisionPtr revIDLastSave="0" documentId="13_ncr:1_{E6AD476E-CD35-499E-9593-CC3D38C3D193}" xr6:coauthVersionLast="47" xr6:coauthVersionMax="47" xr10:uidLastSave="{00000000-0000-0000-0000-000000000000}"/>
  <bookViews>
    <workbookView xWindow="-108" yWindow="-108" windowWidth="23256" windowHeight="12456" activeTab="3" xr2:uid="{203AAC20-3FD4-4259-B600-14A3D3F59BFA}"/>
  </bookViews>
  <sheets>
    <sheet name="Vendor Data" sheetId="1" r:id="rId1"/>
    <sheet name="Weights &amp; Normalization" sheetId="2" r:id="rId2"/>
    <sheet name="Weighted Scores &amp; Ranking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/>
  <c r="J13" i="4"/>
  <c r="J14" i="4"/>
  <c r="J15" i="4"/>
  <c r="I12" i="4"/>
  <c r="I13" i="4"/>
  <c r="I14" i="4"/>
  <c r="I15" i="4"/>
  <c r="F7" i="3"/>
  <c r="F6" i="3"/>
  <c r="F5" i="3"/>
  <c r="F4" i="3"/>
  <c r="F3" i="3"/>
  <c r="E7" i="3"/>
  <c r="E6" i="3"/>
  <c r="E5" i="3"/>
  <c r="E4" i="3"/>
  <c r="E3" i="3"/>
  <c r="D7" i="3"/>
  <c r="D6" i="3"/>
  <c r="D5" i="3"/>
  <c r="D4" i="3"/>
  <c r="D3" i="3"/>
  <c r="C7" i="3"/>
  <c r="C6" i="3"/>
  <c r="C5" i="3"/>
  <c r="C4" i="3"/>
  <c r="C3" i="3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H5" i="2"/>
  <c r="G5" i="2"/>
  <c r="F5" i="2"/>
  <c r="J4" i="2"/>
  <c r="B7" i="3" s="1"/>
  <c r="G7" i="3" s="1"/>
  <c r="I4" i="2"/>
  <c r="B6" i="3" s="1"/>
  <c r="G6" i="3" s="1"/>
  <c r="H4" i="2"/>
  <c r="B5" i="3" s="1"/>
  <c r="G5" i="3" s="1"/>
  <c r="G4" i="2"/>
  <c r="B4" i="3" s="1"/>
  <c r="G4" i="3" s="1"/>
  <c r="F4" i="2"/>
  <c r="J11" i="4" s="1"/>
  <c r="B9" i="2"/>
  <c r="D12" i="4" l="1"/>
  <c r="H4" i="3"/>
  <c r="D15" i="4"/>
  <c r="H7" i="3"/>
  <c r="D14" i="4"/>
  <c r="H6" i="3"/>
  <c r="H5" i="3"/>
  <c r="D13" i="4"/>
  <c r="B3" i="3"/>
  <c r="G3" i="3" s="1"/>
  <c r="I11" i="4"/>
  <c r="D11" i="4" l="1"/>
  <c r="H3" i="3"/>
  <c r="I3" i="3" s="1"/>
  <c r="I5" i="3"/>
  <c r="J5" i="3" s="1"/>
  <c r="I6" i="3"/>
  <c r="J6" i="3" s="1"/>
  <c r="I7" i="3"/>
  <c r="J7" i="3" s="1"/>
  <c r="I4" i="3"/>
  <c r="J4" i="3" s="1"/>
  <c r="C3" i="4" l="1"/>
  <c r="D6" i="4"/>
  <c r="E5" i="4"/>
  <c r="D7" i="4"/>
  <c r="J3" i="3"/>
  <c r="E4" i="4" s="1"/>
  <c r="E6" i="4"/>
  <c r="D3" i="4"/>
  <c r="B7" i="4"/>
  <c r="E3" i="4"/>
  <c r="B6" i="4"/>
  <c r="C4" i="4"/>
  <c r="B5" i="4"/>
  <c r="C5" i="4"/>
  <c r="B4" i="4"/>
  <c r="C6" i="4"/>
  <c r="B3" i="4"/>
  <c r="C7" i="4"/>
  <c r="D4" i="4"/>
  <c r="D5" i="4"/>
  <c r="E7" i="4"/>
</calcChain>
</file>

<file path=xl/sharedStrings.xml><?xml version="1.0" encoding="utf-8"?>
<sst xmlns="http://schemas.openxmlformats.org/spreadsheetml/2006/main" count="76" uniqueCount="33">
  <si>
    <t>Vendor Name</t>
  </si>
  <si>
    <t>Atlas Super</t>
  </si>
  <si>
    <t>Doe John LLC</t>
  </si>
  <si>
    <t>Renshuke Cargo</t>
  </si>
  <si>
    <t>Rajan Enterprises</t>
  </si>
  <si>
    <t>OTC Traders</t>
  </si>
  <si>
    <t>Avg Lead Time (Days)</t>
  </si>
  <si>
    <t>On-Time Delivery (%)</t>
  </si>
  <si>
    <t>Price per unit (Rs)</t>
  </si>
  <si>
    <t>Quality score (1-10)</t>
  </si>
  <si>
    <t>Defect Rate (%)</t>
  </si>
  <si>
    <t>KPI Weight Configuration</t>
  </si>
  <si>
    <t xml:space="preserve">KPI </t>
  </si>
  <si>
    <t>Weight</t>
  </si>
  <si>
    <t>Direction</t>
  </si>
  <si>
    <t>Lower = Better</t>
  </si>
  <si>
    <t>Higher = Better</t>
  </si>
  <si>
    <t>TOTAL</t>
  </si>
  <si>
    <t>Simple Linear Scaling Normalization</t>
  </si>
  <si>
    <t>Total Weighted score</t>
  </si>
  <si>
    <t>Score (%)</t>
  </si>
  <si>
    <t>Rank</t>
  </si>
  <si>
    <t>Decision</t>
  </si>
  <si>
    <t>Weighted Scores &amp; Vendor Ranking</t>
  </si>
  <si>
    <t>KPI Weights &amp; Normalized Scores</t>
  </si>
  <si>
    <t>Vendor Data - Logistics &amp; Supply Chain</t>
  </si>
  <si>
    <t>Total Score</t>
  </si>
  <si>
    <t>Score %</t>
  </si>
  <si>
    <t>Chart Data</t>
  </si>
  <si>
    <t>Executive Summary</t>
  </si>
  <si>
    <t>kpi</t>
  </si>
  <si>
    <t>Top2_V1</t>
  </si>
  <si>
    <t>Top2_V2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</si>
</sst>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0006"/>
      <name val="Arial"/>
      <family val="2"/>
    </font>
    <font>
      <i/>
      <sz val="10"/>
      <color rgb="FF0061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EBF3FB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9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/>
    <xf numFmtId="0" fontId="0" fillId="0" borderId="5" xfId="0" applyBorder="1"/>
    <xf numFmtId="9" fontId="0" fillId="6" borderId="10" xfId="0" applyNumberFormat="1" applyFill="1" applyBorder="1"/>
    <xf numFmtId="0" fontId="0" fillId="6" borderId="11" xfId="0" applyFill="1" applyBorder="1"/>
    <xf numFmtId="2" fontId="0" fillId="0" borderId="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7" fillId="0" borderId="5" xfId="0" applyFont="1" applyBorder="1"/>
    <xf numFmtId="0" fontId="7" fillId="0" borderId="9" xfId="0" applyFont="1" applyBorder="1"/>
    <xf numFmtId="0" fontId="7" fillId="7" borderId="6" xfId="0" applyFont="1" applyFill="1" applyBorder="1"/>
    <xf numFmtId="0" fontId="7" fillId="7" borderId="7" xfId="0" applyFont="1" applyFill="1" applyBorder="1"/>
    <xf numFmtId="0" fontId="7" fillId="7" borderId="8" xfId="0" applyFont="1" applyFill="1" applyBorder="1"/>
    <xf numFmtId="0" fontId="1" fillId="6" borderId="9" xfId="0" applyFont="1" applyFill="1" applyBorder="1" applyAlignment="1">
      <alignment horizontal="right"/>
    </xf>
    <xf numFmtId="0" fontId="2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11" borderId="6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/>
    </xf>
    <xf numFmtId="2" fontId="11" fillId="13" borderId="1" xfId="0" applyNumberFormat="1" applyFont="1" applyFill="1" applyBorder="1" applyAlignment="1">
      <alignment horizontal="center"/>
    </xf>
    <xf numFmtId="164" fontId="11" fillId="13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2" fontId="12" fillId="8" borderId="1" xfId="0" applyNumberFormat="1" applyFont="1" applyFill="1" applyBorder="1" applyAlignment="1">
      <alignment horizontal="center"/>
    </xf>
    <xf numFmtId="164" fontId="12" fillId="8" borderId="1" xfId="0" applyNumberFormat="1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</cellXfs>
  <cellStyles count="1">
    <cellStyle name="Normal" xfId="0" builtinId="0"/>
  </cellStyles>
  <dxfs count="29">
    <dxf>
      <font>
        <b/>
        <i val="0"/>
        <strike val="0"/>
      </font>
    </dxf>
    <dxf>
      <fill>
        <patternFill>
          <bgColor rgb="FFFFFF00"/>
        </patternFill>
      </fill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Weighted Score by Vendor</a:t>
            </a:r>
          </a:p>
        </c:rich>
      </c:tx>
      <c:layout>
        <c:manualLayout>
          <c:xMode val="edge"/>
          <c:yMode val="edge"/>
          <c:x val="0.2279166666666666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Dashboard!$C$11:$C$15</c:f>
              <c:strCache>
                <c:ptCount val="5"/>
                <c:pt idx="0">
                  <c:v>Atlas Super</c:v>
                </c:pt>
                <c:pt idx="1">
                  <c:v>Doe John LLC</c:v>
                </c:pt>
                <c:pt idx="2">
                  <c:v>Renshuke Cargo</c:v>
                </c:pt>
                <c:pt idx="3">
                  <c:v>Rajan Enterprises</c:v>
                </c:pt>
                <c:pt idx="4">
                  <c:v>OTC Traders</c:v>
                </c:pt>
              </c:strCache>
            </c:strRef>
          </c:cat>
          <c:val>
            <c:numRef>
              <c:f>Dashboard!$D$11:$D$15</c:f>
              <c:numCache>
                <c:formatCode>0.00</c:formatCode>
                <c:ptCount val="5"/>
                <c:pt idx="0">
                  <c:v>0.90999999999999992</c:v>
                </c:pt>
                <c:pt idx="1">
                  <c:v>0.921499433106576</c:v>
                </c:pt>
                <c:pt idx="2">
                  <c:v>0.75691043083900234</c:v>
                </c:pt>
                <c:pt idx="3">
                  <c:v>0.83266951942067169</c:v>
                </c:pt>
                <c:pt idx="4">
                  <c:v>0.75090106217925756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5-4313-8C43-FE7F2D0DF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16495"/>
        <c:axId val="694509295"/>
      </c:barChart>
      <c:catAx>
        <c:axId val="69451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9295"/>
        <c:crosses val="autoZero"/>
        <c:auto val="1"/>
        <c:lblAlgn val="ctr"/>
        <c:lblOffset val="100"/>
        <c:noMultiLvlLbl val="0"/>
      </c:catAx>
      <c:valAx>
        <c:axId val="6945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1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KPI Profile - Top 2 Vendors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Dashboard!$I$10</c:f>
              <c:strCache>
                <c:ptCount val="1"/>
                <c:pt idx="0">
                  <c:v>Top2_V1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Dashboard!$H$11:$H$15</c:f>
              <c:strCache>
                <c:ptCount val="5"/>
                <c:pt idx="0">
                  <c:v>Price per unit (Rs)</c:v>
                </c:pt>
                <c:pt idx="1">
                  <c:v>On-Time Delivery (%)</c:v>
                </c:pt>
                <c:pt idx="2">
                  <c:v>Quality score (1-10)</c:v>
                </c:pt>
                <c:pt idx="3">
                  <c:v>Defect Rate (%)</c:v>
                </c:pt>
                <c:pt idx="4">
                  <c:v>Avg Lead Time (Days)</c:v>
                </c:pt>
              </c:strCache>
            </c:strRef>
          </c:cat>
          <c:val>
            <c:numRef>
              <c:f>Dashboard!$I$11:$I$15</c:f>
              <c:numCache>
                <c:formatCode>0.00</c:formatCode>
                <c:ptCount val="5"/>
                <c:pt idx="0">
                  <c:v>0.9375</c:v>
                </c:pt>
                <c:pt idx="1">
                  <c:v>0.93877551020408168</c:v>
                </c:pt>
                <c:pt idx="2">
                  <c:v>0.77777777777777779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2-47A0-A6C2-68E19A58E45F}"/>
            </c:ext>
          </c:extLst>
        </c:ser>
        <c:ser>
          <c:idx val="1"/>
          <c:order val="1"/>
          <c:tx>
            <c:strRef>
              <c:f>Dashboard!$J$10</c:f>
              <c:strCache>
                <c:ptCount val="1"/>
                <c:pt idx="0">
                  <c:v>Top2_V2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Dashboard!$H$11:$H$15</c:f>
              <c:strCache>
                <c:ptCount val="5"/>
                <c:pt idx="0">
                  <c:v>Price per unit (Rs)</c:v>
                </c:pt>
                <c:pt idx="1">
                  <c:v>On-Time Delivery (%)</c:v>
                </c:pt>
                <c:pt idx="2">
                  <c:v>Quality score (1-10)</c:v>
                </c:pt>
                <c:pt idx="3">
                  <c:v>Defect Rate (%)</c:v>
                </c:pt>
                <c:pt idx="4">
                  <c:v>Avg Lead Time (Days)</c:v>
                </c:pt>
              </c:strCache>
            </c:strRef>
          </c:cat>
          <c:val>
            <c:numRef>
              <c:f>Dashboard!$J$11:$J$15</c:f>
              <c:numCache>
                <c:formatCode>0.00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0.66666666666666663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2-47A0-A6C2-68E19A58E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78895"/>
        <c:axId val="694580815"/>
      </c:radarChart>
      <c:catAx>
        <c:axId val="69457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80815"/>
        <c:crosses val="autoZero"/>
        <c:auto val="1"/>
        <c:lblAlgn val="ctr"/>
        <c:lblOffset val="100"/>
        <c:noMultiLvlLbl val="0"/>
      </c:catAx>
      <c:valAx>
        <c:axId val="69458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105118110236226"/>
          <c:y val="0.11412037037037037"/>
          <c:w val="0.29276993393067247"/>
          <c:h val="8.2117363066842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7</xdr:row>
      <xdr:rowOff>125730</xdr:rowOff>
    </xdr:from>
    <xdr:to>
      <xdr:col>5</xdr:col>
      <xdr:colOff>434340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5139E-AB6F-946B-E664-E5A742A19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7</xdr:row>
      <xdr:rowOff>125730</xdr:rowOff>
    </xdr:from>
    <xdr:to>
      <xdr:col>13</xdr:col>
      <xdr:colOff>571500</xdr:colOff>
      <xdr:row>21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54CE7A-0C55-A317-AAF5-601867CF2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C3D294-746B-42EE-A15D-05A278264F1B}" name="Table5" displayName="Table5" ref="A2:F7" totalsRowShown="0" headerRowDxfId="28" dataDxfId="26" headerRowBorderDxfId="27" tableBorderDxfId="25" totalsRowBorderDxfId="24">
  <autoFilter ref="A2:F7" xr:uid="{F0C3D294-746B-42EE-A15D-05A278264F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CE8EEE-A3BA-4C51-A6F3-EB9037F23E3E}" name="Vendor Name" dataDxfId="23"/>
    <tableColumn id="2" xr3:uid="{6CB81080-8626-4194-9E50-033D95D9C15D}" name="Avg Lead Time (Days)" dataDxfId="22"/>
    <tableColumn id="3" xr3:uid="{5D0ECF96-F36D-4AAE-B719-03A38E90A962}" name="On-Time Delivery (%)" dataDxfId="21"/>
    <tableColumn id="4" xr3:uid="{B58C4222-7CCE-4725-AEF7-7DC38796945D}" name="Price per unit (Rs)" dataDxfId="20"/>
    <tableColumn id="5" xr3:uid="{514500E8-F8EE-443B-8E31-E49BF958A5DC}" name="Quality score (1-10)" dataDxfId="19"/>
    <tableColumn id="6" xr3:uid="{B4F91762-2A91-4BF6-A5B1-A5A5586AFD20}" name="Defect Rate (%)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B5BD66-1AD3-41D4-A341-FFAF466771B8}" name="Table3" displayName="Table3" ref="A3:C9" totalsRowShown="0" headerRowDxfId="17" headerRowBorderDxfId="16" tableBorderDxfId="15" totalsRowBorderDxfId="14">
  <autoFilter ref="A3:C9" xr:uid="{F8B5BD66-1AD3-41D4-A341-FFAF466771B8}">
    <filterColumn colId="0" hiddenButton="1"/>
    <filterColumn colId="1" hiddenButton="1"/>
    <filterColumn colId="2" hiddenButton="1"/>
  </autoFilter>
  <tableColumns count="3">
    <tableColumn id="1" xr3:uid="{729D3C07-5F31-4203-9EAA-21C733C4A61A}" name="KPI " dataDxfId="13"/>
    <tableColumn id="2" xr3:uid="{912406E0-71F7-4374-BF90-3D1BC94DC601}" name="Weight" dataDxfId="12"/>
    <tableColumn id="3" xr3:uid="{D37B9CD4-0A33-4C1B-AD93-486B0D8EBFD8}" name="Direc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5A5049-0C03-468F-876A-60FE5E3A4254}" name="Table4" displayName="Table4" ref="E3:J8" totalsRowShown="0" headerRowDxfId="11" headerRowBorderDxfId="10" tableBorderDxfId="9" totalsRowBorderDxfId="8">
  <autoFilter ref="E3:J8" xr:uid="{7B5A5049-0C03-468F-876A-60FE5E3A42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AC35980-7DC4-4653-A6CE-5B27CFEC21CE}" name="KPI " dataDxfId="7"/>
    <tableColumn id="2" xr3:uid="{8AA4FD3B-A509-43F8-ABE1-B9DD84417B30}" name="Atlas Super" dataDxfId="6"/>
    <tableColumn id="3" xr3:uid="{3E2695E9-F9CE-498B-BA87-7F182C18A6E7}" name="Doe John LLC" dataDxfId="5"/>
    <tableColumn id="4" xr3:uid="{7B91BE9D-F3AF-4049-9637-BCD308D35C3C}" name="Renshuke Cargo" dataDxfId="4"/>
    <tableColumn id="5" xr3:uid="{D1198D29-B7FF-453D-A865-8812A916FDB0}" name="Rajan Enterprises" dataDxfId="3"/>
    <tableColumn id="6" xr3:uid="{FA662A60-5BE8-49A5-BD08-92F7E38AD627}" name="OTC Trad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A34F-B466-46BA-BE5A-01B81053A3D7}">
  <sheetPr>
    <tabColor rgb="FF00B0F0"/>
  </sheetPr>
  <dimension ref="A1:F7"/>
  <sheetViews>
    <sheetView workbookViewId="0">
      <selection activeCell="D4" sqref="D4"/>
    </sheetView>
  </sheetViews>
  <sheetFormatPr defaultRowHeight="14.4" x14ac:dyDescent="0.3"/>
  <cols>
    <col min="1" max="1" width="15.109375" bestFit="1" customWidth="1"/>
    <col min="2" max="2" width="20.88671875" customWidth="1"/>
    <col min="3" max="3" width="20.5546875" customWidth="1"/>
    <col min="4" max="4" width="17.6640625" customWidth="1"/>
    <col min="5" max="5" width="19.21875" customWidth="1"/>
    <col min="6" max="6" width="15.77734375" customWidth="1"/>
    <col min="8" max="8" width="18.33203125" bestFit="1" customWidth="1"/>
    <col min="9" max="9" width="5.88671875" bestFit="1" customWidth="1"/>
    <col min="10" max="10" width="8.77734375" bestFit="1" customWidth="1"/>
  </cols>
  <sheetData>
    <row r="1" spans="1:6" ht="18" x14ac:dyDescent="0.35">
      <c r="A1" s="41" t="s">
        <v>25</v>
      </c>
      <c r="B1" s="41"/>
      <c r="C1" s="41"/>
      <c r="D1" s="41"/>
      <c r="E1" s="41"/>
      <c r="F1" s="41"/>
    </row>
    <row r="2" spans="1:6" ht="31.2" x14ac:dyDescent="0.3">
      <c r="A2" s="29" t="s">
        <v>0</v>
      </c>
      <c r="B2" s="30" t="s">
        <v>6</v>
      </c>
      <c r="C2" s="30" t="s">
        <v>7</v>
      </c>
      <c r="D2" s="30" t="s">
        <v>8</v>
      </c>
      <c r="E2" s="30" t="s">
        <v>9</v>
      </c>
      <c r="F2" s="31" t="s">
        <v>10</v>
      </c>
    </row>
    <row r="3" spans="1:6" x14ac:dyDescent="0.3">
      <c r="A3" s="24" t="s">
        <v>1</v>
      </c>
      <c r="B3" s="8">
        <v>5</v>
      </c>
      <c r="C3" s="8">
        <v>98</v>
      </c>
      <c r="D3" s="8">
        <v>150</v>
      </c>
      <c r="E3" s="8">
        <v>9</v>
      </c>
      <c r="F3" s="25">
        <v>6</v>
      </c>
    </row>
    <row r="4" spans="1:6" x14ac:dyDescent="0.3">
      <c r="A4" s="24" t="s">
        <v>2</v>
      </c>
      <c r="B4" s="8">
        <v>3</v>
      </c>
      <c r="C4" s="8">
        <v>92</v>
      </c>
      <c r="D4" s="8">
        <v>160</v>
      </c>
      <c r="E4" s="8">
        <v>7</v>
      </c>
      <c r="F4" s="25">
        <v>4</v>
      </c>
    </row>
    <row r="5" spans="1:6" x14ac:dyDescent="0.3">
      <c r="A5" s="24" t="s">
        <v>3</v>
      </c>
      <c r="B5" s="8">
        <v>8</v>
      </c>
      <c r="C5" s="8">
        <v>88</v>
      </c>
      <c r="D5" s="8">
        <v>175</v>
      </c>
      <c r="E5" s="8">
        <v>8</v>
      </c>
      <c r="F5" s="25">
        <v>10</v>
      </c>
    </row>
    <row r="6" spans="1:6" x14ac:dyDescent="0.3">
      <c r="A6" s="24" t="s">
        <v>4</v>
      </c>
      <c r="B6" s="8">
        <v>6</v>
      </c>
      <c r="C6" s="8">
        <v>95</v>
      </c>
      <c r="D6" s="8">
        <v>155</v>
      </c>
      <c r="E6" s="8">
        <v>9</v>
      </c>
      <c r="F6" s="25">
        <v>12</v>
      </c>
    </row>
    <row r="7" spans="1:6" x14ac:dyDescent="0.3">
      <c r="A7" s="26" t="s">
        <v>5</v>
      </c>
      <c r="B7" s="27">
        <v>4</v>
      </c>
      <c r="C7" s="27">
        <v>85</v>
      </c>
      <c r="D7" s="27">
        <v>190</v>
      </c>
      <c r="E7" s="27">
        <v>7</v>
      </c>
      <c r="F7" s="28">
        <v>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D768-D0BD-4B48-A4C1-199D3ABBEE4B}">
  <sheetPr>
    <tabColor theme="4"/>
  </sheetPr>
  <dimension ref="A1:J9"/>
  <sheetViews>
    <sheetView workbookViewId="0">
      <selection activeCell="F4" sqref="F4"/>
    </sheetView>
  </sheetViews>
  <sheetFormatPr defaultRowHeight="14.4" x14ac:dyDescent="0.3"/>
  <cols>
    <col min="1" max="1" width="18.33203125" bestFit="1" customWidth="1"/>
    <col min="3" max="3" width="14" bestFit="1" customWidth="1"/>
    <col min="5" max="5" width="18.33203125" bestFit="1" customWidth="1"/>
    <col min="6" max="6" width="13.6640625" bestFit="1" customWidth="1"/>
    <col min="7" max="7" width="14" customWidth="1"/>
    <col min="8" max="8" width="16.44140625" customWidth="1"/>
    <col min="9" max="9" width="17.33203125" customWidth="1"/>
    <col min="10" max="10" width="13.6640625" bestFit="1" customWidth="1"/>
  </cols>
  <sheetData>
    <row r="1" spans="1:10" ht="18" x14ac:dyDescent="0.35">
      <c r="A1" s="41" t="s">
        <v>24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s="9" customFormat="1" ht="15.6" x14ac:dyDescent="0.3">
      <c r="A2" s="42" t="s">
        <v>11</v>
      </c>
      <c r="B2" s="43"/>
      <c r="C2" s="44"/>
      <c r="E2" s="42" t="s">
        <v>18</v>
      </c>
      <c r="F2" s="43"/>
      <c r="G2" s="43"/>
      <c r="H2" s="43"/>
      <c r="I2" s="43"/>
      <c r="J2" s="44"/>
    </row>
    <row r="3" spans="1:10" x14ac:dyDescent="0.3">
      <c r="A3" s="18" t="s">
        <v>12</v>
      </c>
      <c r="B3" s="19" t="s">
        <v>13</v>
      </c>
      <c r="C3" s="20" t="s">
        <v>14</v>
      </c>
      <c r="E3" s="18" t="s">
        <v>12</v>
      </c>
      <c r="F3" s="19" t="s">
        <v>1</v>
      </c>
      <c r="G3" s="19" t="s">
        <v>2</v>
      </c>
      <c r="H3" s="19" t="s">
        <v>3</v>
      </c>
      <c r="I3" s="19" t="s">
        <v>4</v>
      </c>
      <c r="J3" s="20" t="s">
        <v>5</v>
      </c>
    </row>
    <row r="4" spans="1:10" x14ac:dyDescent="0.3">
      <c r="A4" s="10" t="s">
        <v>8</v>
      </c>
      <c r="B4" s="1">
        <v>0.3</v>
      </c>
      <c r="C4" s="22" t="s">
        <v>15</v>
      </c>
      <c r="E4" s="16" t="s">
        <v>8</v>
      </c>
      <c r="F4" s="3">
        <f>MIN('Vendor Data'!$D$3:$D$7)/'Vendor Data'!D3</f>
        <v>1</v>
      </c>
      <c r="G4" s="3">
        <f>MIN('Vendor Data'!$D$3:$D$7)/'Vendor Data'!D4</f>
        <v>0.9375</v>
      </c>
      <c r="H4" s="3">
        <f>MIN('Vendor Data'!$D$3:$D$7)/'Vendor Data'!D5</f>
        <v>0.8571428571428571</v>
      </c>
      <c r="I4" s="3">
        <f>MIN('Vendor Data'!$D$3:$D$7)/'Vendor Data'!D6</f>
        <v>0.967741935483871</v>
      </c>
      <c r="J4" s="13">
        <f>MIN('Vendor Data'!$D$3:$D$7)/'Vendor Data'!D7</f>
        <v>0.78947368421052633</v>
      </c>
    </row>
    <row r="5" spans="1:10" x14ac:dyDescent="0.3">
      <c r="A5" s="10" t="s">
        <v>7</v>
      </c>
      <c r="B5" s="1">
        <v>0.25</v>
      </c>
      <c r="C5" s="23" t="s">
        <v>16</v>
      </c>
      <c r="E5" s="16" t="s">
        <v>7</v>
      </c>
      <c r="F5" s="3">
        <f>'Vendor Data'!C3/MAX('Vendor Data'!$C$3:$C$7)</f>
        <v>1</v>
      </c>
      <c r="G5" s="3">
        <f>'Vendor Data'!C4/MAX('Vendor Data'!$C$3:$C$7)</f>
        <v>0.93877551020408168</v>
      </c>
      <c r="H5" s="3">
        <f>'Vendor Data'!C5/MAX('Vendor Data'!$C$3:$C$7)</f>
        <v>0.89795918367346939</v>
      </c>
      <c r="I5" s="3">
        <f>'Vendor Data'!C6/MAX('Vendor Data'!$C$3:$C$7)</f>
        <v>0.96938775510204078</v>
      </c>
      <c r="J5" s="13">
        <f>'Vendor Data'!C7/MAX('Vendor Data'!$C$3:$C$7)</f>
        <v>0.86734693877551017</v>
      </c>
    </row>
    <row r="6" spans="1:10" x14ac:dyDescent="0.3">
      <c r="A6" s="10" t="s">
        <v>9</v>
      </c>
      <c r="B6" s="1">
        <v>0.2</v>
      </c>
      <c r="C6" s="23" t="s">
        <v>16</v>
      </c>
      <c r="E6" s="16" t="s">
        <v>9</v>
      </c>
      <c r="F6" s="3">
        <f>'Vendor Data'!E3/MAX('Vendor Data'!$E$3:$E$7)</f>
        <v>1</v>
      </c>
      <c r="G6" s="3">
        <f>'Vendor Data'!E4/MAX('Vendor Data'!$E$3:$E$7)</f>
        <v>0.77777777777777779</v>
      </c>
      <c r="H6" s="3">
        <f>'Vendor Data'!E5/MAX('Vendor Data'!$E$3:$E$7)</f>
        <v>0.88888888888888884</v>
      </c>
      <c r="I6" s="3">
        <f>'Vendor Data'!E6/MAX('Vendor Data'!$E$3:$E$7)</f>
        <v>1</v>
      </c>
      <c r="J6" s="13">
        <f>'Vendor Data'!E7/MAX('Vendor Data'!$E$3:$E$7)</f>
        <v>0.77777777777777779</v>
      </c>
    </row>
    <row r="7" spans="1:10" x14ac:dyDescent="0.3">
      <c r="A7" s="10" t="s">
        <v>10</v>
      </c>
      <c r="B7" s="1">
        <v>0.15</v>
      </c>
      <c r="C7" s="22" t="s">
        <v>15</v>
      </c>
      <c r="E7" s="16" t="s">
        <v>10</v>
      </c>
      <c r="F7" s="3">
        <f>MIN('Vendor Data'!$F$3:$F$7)/'Vendor Data'!F3</f>
        <v>0.66666666666666663</v>
      </c>
      <c r="G7" s="3">
        <f>MIN('Vendor Data'!$F$3:$F$7)/'Vendor Data'!F4</f>
        <v>1</v>
      </c>
      <c r="H7" s="3">
        <f>MIN('Vendor Data'!$F$3:$F$7)/'Vendor Data'!F5</f>
        <v>0.4</v>
      </c>
      <c r="I7" s="3">
        <f>MIN('Vendor Data'!$F$3:$F$7)/'Vendor Data'!F6</f>
        <v>0.33333333333333331</v>
      </c>
      <c r="J7" s="13">
        <f>MIN('Vendor Data'!$F$3:$F$7)/'Vendor Data'!F7</f>
        <v>0.44444444444444442</v>
      </c>
    </row>
    <row r="8" spans="1:10" x14ac:dyDescent="0.3">
      <c r="A8" s="10" t="s">
        <v>6</v>
      </c>
      <c r="B8" s="1">
        <v>0.1</v>
      </c>
      <c r="C8" s="22" t="s">
        <v>15</v>
      </c>
      <c r="E8" s="17" t="s">
        <v>6</v>
      </c>
      <c r="F8" s="14">
        <f>MIN('Vendor Data'!$B$3:$B$7)/'Vendor Data'!B3</f>
        <v>0.6</v>
      </c>
      <c r="G8" s="14">
        <f>MIN('Vendor Data'!$B$3:$B$7)/'Vendor Data'!B4</f>
        <v>1</v>
      </c>
      <c r="H8" s="14">
        <f>MIN('Vendor Data'!$B$3:$B$7)/'Vendor Data'!B5</f>
        <v>0.375</v>
      </c>
      <c r="I8" s="14">
        <f>MIN('Vendor Data'!$B$3:$B$7)/'Vendor Data'!B6</f>
        <v>0.5</v>
      </c>
      <c r="J8" s="15">
        <f>MIN('Vendor Data'!$B$3:$B$7)/'Vendor Data'!B7</f>
        <v>0.75</v>
      </c>
    </row>
    <row r="9" spans="1:10" x14ac:dyDescent="0.3">
      <c r="A9" s="21" t="s">
        <v>17</v>
      </c>
      <c r="B9" s="11">
        <f>SUM(B4:B8)</f>
        <v>1</v>
      </c>
      <c r="C9" s="12"/>
    </row>
  </sheetData>
  <mergeCells count="3">
    <mergeCell ref="A2:C2"/>
    <mergeCell ref="E2:J2"/>
    <mergeCell ref="A1:J1"/>
  </mergeCells>
  <conditionalFormatting sqref="F4:J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FEF7-8702-400F-9041-CECD63C56A98}">
  <sheetPr>
    <tabColor theme="9"/>
  </sheetPr>
  <dimension ref="A1:J7"/>
  <sheetViews>
    <sheetView workbookViewId="0">
      <selection activeCell="I7" sqref="I7"/>
    </sheetView>
  </sheetViews>
  <sheetFormatPr defaultRowHeight="14.4" x14ac:dyDescent="0.3"/>
  <cols>
    <col min="1" max="1" width="15.5546875" bestFit="1" customWidth="1"/>
    <col min="2" max="2" width="9.21875" bestFit="1" customWidth="1"/>
    <col min="3" max="3" width="9.6640625" customWidth="1"/>
    <col min="4" max="4" width="10" customWidth="1"/>
    <col min="5" max="5" width="7.77734375" customWidth="1"/>
    <col min="6" max="6" width="10.5546875" customWidth="1"/>
    <col min="7" max="7" width="11.109375" customWidth="1"/>
    <col min="8" max="8" width="7.77734375" customWidth="1"/>
    <col min="10" max="10" width="10.88671875" bestFit="1" customWidth="1"/>
  </cols>
  <sheetData>
    <row r="1" spans="1:10" ht="18" x14ac:dyDescent="0.35">
      <c r="A1" s="45" t="s">
        <v>23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46.8" x14ac:dyDescent="0.3">
      <c r="A2" s="4" t="s">
        <v>0</v>
      </c>
      <c r="B2" s="4" t="s">
        <v>8</v>
      </c>
      <c r="C2" s="4" t="s">
        <v>7</v>
      </c>
      <c r="D2" s="4" t="s">
        <v>9</v>
      </c>
      <c r="E2" s="4" t="s">
        <v>10</v>
      </c>
      <c r="F2" s="4" t="s">
        <v>6</v>
      </c>
      <c r="G2" s="4" t="s">
        <v>19</v>
      </c>
      <c r="H2" s="4" t="s">
        <v>20</v>
      </c>
      <c r="I2" s="4" t="s">
        <v>21</v>
      </c>
      <c r="J2" s="4" t="s">
        <v>22</v>
      </c>
    </row>
    <row r="3" spans="1:10" x14ac:dyDescent="0.3">
      <c r="A3" s="5" t="s">
        <v>1</v>
      </c>
      <c r="B3" s="6">
        <f>'Weights &amp; Normalization'!F4*'Weights &amp; Normalization'!$B$4</f>
        <v>0.3</v>
      </c>
      <c r="C3" s="6">
        <f>'Weights &amp; Normalization'!F5*'Weights &amp; Normalization'!$B$5</f>
        <v>0.25</v>
      </c>
      <c r="D3" s="6">
        <f>'Weights &amp; Normalization'!F6*'Weights &amp; Normalization'!$B$6</f>
        <v>0.2</v>
      </c>
      <c r="E3" s="6">
        <f>'Weights &amp; Normalization'!F7*'Weights &amp; Normalization'!$B$7</f>
        <v>9.9999999999999992E-2</v>
      </c>
      <c r="F3" s="6">
        <f>'Weights &amp; Normalization'!F8*'Weights &amp; Normalization'!$B$8</f>
        <v>0.06</v>
      </c>
      <c r="G3" s="6">
        <f>SUM(B3:F3)</f>
        <v>0.90999999999999992</v>
      </c>
      <c r="H3" s="7">
        <f>G3*100</f>
        <v>90.999999999999986</v>
      </c>
      <c r="I3" s="8">
        <f>_xlfn.RANK.EQ(H3,$H$3:$H$7)</f>
        <v>2</v>
      </c>
      <c r="J3" s="8" t="str">
        <f>IF(I3=1,"Top Vendor",IF(I3&lt;=3,"Acceptable","Review"))</f>
        <v>Acceptable</v>
      </c>
    </row>
    <row r="4" spans="1:10" x14ac:dyDescent="0.3">
      <c r="A4" s="5" t="s">
        <v>2</v>
      </c>
      <c r="B4" s="6">
        <f>'Weights &amp; Normalization'!G4*'Weights &amp; Normalization'!$B$4</f>
        <v>0.28125</v>
      </c>
      <c r="C4" s="6">
        <f>'Weights &amp; Normalization'!G5*'Weights &amp; Normalization'!$B$5</f>
        <v>0.23469387755102042</v>
      </c>
      <c r="D4" s="6">
        <f>'Weights &amp; Normalization'!G6*'Weights &amp; Normalization'!$B$6</f>
        <v>0.15555555555555556</v>
      </c>
      <c r="E4" s="6">
        <f>'Weights &amp; Normalization'!G7*'Weights &amp; Normalization'!$B$7</f>
        <v>0.15</v>
      </c>
      <c r="F4" s="6">
        <f>'Weights &amp; Normalization'!G8*'Weights &amp; Normalization'!$B$8</f>
        <v>0.1</v>
      </c>
      <c r="G4" s="6">
        <f t="shared" ref="G4:G7" si="0">SUM(B4:F4)</f>
        <v>0.921499433106576</v>
      </c>
      <c r="H4" s="7">
        <f t="shared" ref="H4:H7" si="1">G4*100</f>
        <v>92.149943310657605</v>
      </c>
      <c r="I4" s="8">
        <f t="shared" ref="I4:I7" si="2">_xlfn.RANK.EQ(H4,$H$3:$H$7)</f>
        <v>1</v>
      </c>
      <c r="J4" s="8" t="str">
        <f t="shared" ref="J4:J7" si="3">IF(I4=1,"Top Vendor",IF(I4&lt;=3,"Acceptable","Review"))</f>
        <v>Top Vendor</v>
      </c>
    </row>
    <row r="5" spans="1:10" x14ac:dyDescent="0.3">
      <c r="A5" s="5" t="s">
        <v>3</v>
      </c>
      <c r="B5" s="6">
        <f>'Weights &amp; Normalization'!H4*'Weights &amp; Normalization'!$B$4</f>
        <v>0.25714285714285712</v>
      </c>
      <c r="C5" s="6">
        <f>'Weights &amp; Normalization'!H5*'Weights &amp; Normalization'!$B$5</f>
        <v>0.22448979591836735</v>
      </c>
      <c r="D5" s="6">
        <f>'Weights &amp; Normalization'!H6*'Weights &amp; Normalization'!$B$6</f>
        <v>0.17777777777777778</v>
      </c>
      <c r="E5" s="6">
        <f>'Weights &amp; Normalization'!H7*'Weights &amp; Normalization'!$B$7</f>
        <v>0.06</v>
      </c>
      <c r="F5" s="6">
        <f>'Weights &amp; Normalization'!H8*'Weights &amp; Normalization'!$B$8</f>
        <v>3.7500000000000006E-2</v>
      </c>
      <c r="G5" s="6">
        <f t="shared" si="0"/>
        <v>0.75691043083900234</v>
      </c>
      <c r="H5" s="7">
        <f t="shared" si="1"/>
        <v>75.69104308390024</v>
      </c>
      <c r="I5" s="8">
        <f t="shared" si="2"/>
        <v>4</v>
      </c>
      <c r="J5" s="8" t="str">
        <f t="shared" si="3"/>
        <v>Review</v>
      </c>
    </row>
    <row r="6" spans="1:10" x14ac:dyDescent="0.3">
      <c r="A6" s="5" t="s">
        <v>4</v>
      </c>
      <c r="B6" s="6">
        <f>'Weights &amp; Normalization'!I4*'Weights &amp; Normalization'!$B$4</f>
        <v>0.29032258064516131</v>
      </c>
      <c r="C6" s="6">
        <f>'Weights &amp; Normalization'!I5*'Weights &amp; Normalization'!$B$5</f>
        <v>0.2423469387755102</v>
      </c>
      <c r="D6" s="6">
        <f>'Weights &amp; Normalization'!I6*'Weights &amp; Normalization'!$B$6</f>
        <v>0.2</v>
      </c>
      <c r="E6" s="6">
        <f>'Weights &amp; Normalization'!I7*'Weights &amp; Normalization'!$B$7</f>
        <v>4.9999999999999996E-2</v>
      </c>
      <c r="F6" s="6">
        <f>'Weights &amp; Normalization'!I8*'Weights &amp; Normalization'!$B$8</f>
        <v>0.05</v>
      </c>
      <c r="G6" s="6">
        <f t="shared" si="0"/>
        <v>0.83266951942067169</v>
      </c>
      <c r="H6" s="7">
        <f t="shared" si="1"/>
        <v>83.266951942067166</v>
      </c>
      <c r="I6" s="8">
        <f t="shared" si="2"/>
        <v>3</v>
      </c>
      <c r="J6" s="8" t="str">
        <f t="shared" si="3"/>
        <v>Acceptable</v>
      </c>
    </row>
    <row r="7" spans="1:10" x14ac:dyDescent="0.3">
      <c r="A7" s="5" t="s">
        <v>5</v>
      </c>
      <c r="B7" s="6">
        <f>'Weights &amp; Normalization'!J4*'Weights &amp; Normalization'!$B$4</f>
        <v>0.23684210526315788</v>
      </c>
      <c r="C7" s="6">
        <f>'Weights &amp; Normalization'!J5*'Weights &amp; Normalization'!$B$5</f>
        <v>0.21683673469387754</v>
      </c>
      <c r="D7" s="6">
        <f>'Weights &amp; Normalization'!J6*'Weights &amp; Normalization'!$B$6</f>
        <v>0.15555555555555556</v>
      </c>
      <c r="E7" s="6">
        <f>'Weights &amp; Normalization'!J7*'Weights &amp; Normalization'!$B$7</f>
        <v>6.6666666666666666E-2</v>
      </c>
      <c r="F7" s="6">
        <f>'Weights &amp; Normalization'!J8*'Weights &amp; Normalization'!$B$8</f>
        <v>7.5000000000000011E-2</v>
      </c>
      <c r="G7" s="6">
        <f t="shared" si="0"/>
        <v>0.75090106217925756</v>
      </c>
      <c r="H7" s="7">
        <f t="shared" si="1"/>
        <v>75.090106217925751</v>
      </c>
      <c r="I7" s="8">
        <f t="shared" si="2"/>
        <v>5</v>
      </c>
      <c r="J7" s="8" t="str">
        <f t="shared" si="3"/>
        <v>Review</v>
      </c>
    </row>
  </sheetData>
  <mergeCells count="1">
    <mergeCell ref="A1:J1"/>
  </mergeCells>
  <conditionalFormatting sqref="G3:G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7">
    <cfRule type="cellIs" dxfId="1" priority="3" operator="equal">
      <formula>1</formula>
    </cfRule>
  </conditionalFormatting>
  <conditionalFormatting sqref="J2:J1048576">
    <cfRule type="containsText" dxfId="0" priority="1" operator="containsText" text="Top Vendor">
      <formula>NOT(ISERROR(SEARCH("Top Vendor",J2)))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6341-34C3-47BD-8D3F-746E60E6301F}">
  <sheetPr>
    <tabColor theme="5"/>
  </sheetPr>
  <dimension ref="A1:J15"/>
  <sheetViews>
    <sheetView tabSelected="1" zoomScaleNormal="100" workbookViewId="0">
      <selection activeCell="O2" sqref="O2"/>
    </sheetView>
  </sheetViews>
  <sheetFormatPr defaultRowHeight="14.4" x14ac:dyDescent="0.3"/>
  <cols>
    <col min="1" max="1" width="5.88671875" bestFit="1" customWidth="1"/>
    <col min="2" max="2" width="16.6640625" bestFit="1" customWidth="1"/>
    <col min="3" max="3" width="12" bestFit="1" customWidth="1"/>
    <col min="4" max="4" width="9.109375" bestFit="1" customWidth="1"/>
    <col min="5" max="5" width="15.88671875" bestFit="1" customWidth="1"/>
  </cols>
  <sheetData>
    <row r="1" spans="1:10" ht="18" x14ac:dyDescent="0.35">
      <c r="A1" s="45" t="s">
        <v>29</v>
      </c>
      <c r="B1" s="45"/>
      <c r="C1" s="45"/>
      <c r="D1" s="45"/>
      <c r="E1" s="45"/>
    </row>
    <row r="2" spans="1:10" x14ac:dyDescent="0.3">
      <c r="A2" s="32" t="s">
        <v>21</v>
      </c>
      <c r="B2" s="32" t="s">
        <v>0</v>
      </c>
      <c r="C2" s="32" t="s">
        <v>26</v>
      </c>
      <c r="D2" s="32" t="s">
        <v>27</v>
      </c>
      <c r="E2" s="40" t="s">
        <v>22</v>
      </c>
    </row>
    <row r="3" spans="1:10" x14ac:dyDescent="0.3">
      <c r="A3" s="33">
        <v>1</v>
      </c>
      <c r="B3" s="33" t="str">
        <f>INDEX('Weighted Scores &amp; Ranking'!$A$3:$A$7,MATCH(1,'Weighted Scores &amp; Ranking'!$I$3:$I$7,0))</f>
        <v>Doe John LLC</v>
      </c>
      <c r="C3" s="34">
        <f>INDEX('Weighted Scores &amp; Ranking'!$H$3:$H$7,MATCH(MATCH(A3,$A$3:$A$7,0),'Weighted Scores &amp; Ranking'!$I$3:$I$7,0))</f>
        <v>92.149943310657605</v>
      </c>
      <c r="D3" s="35">
        <f>INDEX('Weighted Scores &amp; Ranking'!$H$3:$H$7,MATCH(MATCH(Dashboard!A3,Dashboard!$A$3:$A$7,0),'Weighted Scores &amp; Ranking'!$I$3:$I$7,0))</f>
        <v>92.149943310657605</v>
      </c>
      <c r="E3" s="35" t="str">
        <f>INDEX('Weighted Scores &amp; Ranking'!$J$3:$J$7,MATCH(MATCH(Dashboard!A3,Dashboard!$A$3:$A$7,0),'Weighted Scores &amp; Ranking'!$I$3:$I$7,0))</f>
        <v>Top Vendor</v>
      </c>
    </row>
    <row r="4" spans="1:10" x14ac:dyDescent="0.3">
      <c r="A4" s="36">
        <v>2</v>
      </c>
      <c r="B4" s="8" t="str">
        <f>INDEX('Weighted Scores &amp; Ranking'!$A$3:$A$7,MATCH(2,'Weighted Scores &amp; Ranking'!$I$3:$I$7,0))</f>
        <v>Atlas Super</v>
      </c>
      <c r="C4" s="38">
        <f>INDEX('Weighted Scores &amp; Ranking'!$H$3:$H$7,MATCH(MATCH(A4,$A$3:$A$7,0),'Weighted Scores &amp; Ranking'!$I$3:$I$7,0))</f>
        <v>90.999999999999986</v>
      </c>
      <c r="D4" s="39">
        <f>INDEX('Weighted Scores &amp; Ranking'!$H$3:$H$7,MATCH(MATCH(Dashboard!A4,Dashboard!$A$3:$A$7,0),'Weighted Scores &amp; Ranking'!$I$3:$I$7,0))</f>
        <v>90.999999999999986</v>
      </c>
      <c r="E4" s="39" t="str">
        <f>INDEX('Weighted Scores &amp; Ranking'!$J$3:$J$7,MATCH(MATCH(Dashboard!A4,Dashboard!$A$3:$A$7,0),'Weighted Scores &amp; Ranking'!$I$3:$I$7,0))</f>
        <v>Acceptable</v>
      </c>
    </row>
    <row r="5" spans="1:10" x14ac:dyDescent="0.3">
      <c r="A5" s="37">
        <v>3</v>
      </c>
      <c r="B5" s="8" t="str">
        <f>INDEX('Weighted Scores &amp; Ranking'!$A$3:$A$7,MATCH(3,'Weighted Scores &amp; Ranking'!$I$3:$I$7,0))</f>
        <v>Rajan Enterprises</v>
      </c>
      <c r="C5" s="38">
        <f>INDEX('Weighted Scores &amp; Ranking'!$H$3:$H$7,MATCH(MATCH(A5,$A$3:$A$7,0),'Weighted Scores &amp; Ranking'!$I$3:$I$7,0))</f>
        <v>83.266951942067166</v>
      </c>
      <c r="D5" s="39">
        <f>INDEX('Weighted Scores &amp; Ranking'!$H$3:$H$7,MATCH(MATCH(Dashboard!A5,Dashboard!$A$3:$A$7,0),'Weighted Scores &amp; Ranking'!$I$3:$I$7,0))</f>
        <v>83.266951942067166</v>
      </c>
      <c r="E5" s="39" t="str">
        <f>INDEX('Weighted Scores &amp; Ranking'!$J$3:$J$7,MATCH(MATCH(Dashboard!A5,Dashboard!$A$3:$A$7,0),'Weighted Scores &amp; Ranking'!$I$3:$I$7,0))</f>
        <v>Acceptable</v>
      </c>
    </row>
    <row r="6" spans="1:10" x14ac:dyDescent="0.3">
      <c r="A6" s="36">
        <v>4</v>
      </c>
      <c r="B6" s="8" t="str">
        <f>INDEX('Weighted Scores &amp; Ranking'!$A$3:$A$7,MATCH(4,'Weighted Scores &amp; Ranking'!$I$3:$I$7,0))</f>
        <v>Renshuke Cargo</v>
      </c>
      <c r="C6" s="38">
        <f>INDEX('Weighted Scores &amp; Ranking'!$H$3:$H$7,MATCH(MATCH(A6,$A$3:$A$7,0),'Weighted Scores &amp; Ranking'!$I$3:$I$7,0))</f>
        <v>75.69104308390024</v>
      </c>
      <c r="D6" s="39">
        <f>INDEX('Weighted Scores &amp; Ranking'!$H$3:$H$7,MATCH(MATCH(Dashboard!A6,Dashboard!$A$3:$A$7,0),'Weighted Scores &amp; Ranking'!$I$3:$I$7,0))</f>
        <v>75.69104308390024</v>
      </c>
      <c r="E6" s="39" t="str">
        <f>INDEX('Weighted Scores &amp; Ranking'!$J$3:$J$7,MATCH(MATCH(Dashboard!A6,Dashboard!$A$3:$A$7,0),'Weighted Scores &amp; Ranking'!$I$3:$I$7,0))</f>
        <v>Review</v>
      </c>
    </row>
    <row r="7" spans="1:10" x14ac:dyDescent="0.3">
      <c r="A7" s="37">
        <v>5</v>
      </c>
      <c r="B7" s="8" t="str">
        <f>INDEX('Weighted Scores &amp; Ranking'!$A$3:$A$7,MATCH(5,'Weighted Scores &amp; Ranking'!$I$3:$I$7,0))</f>
        <v>OTC Traders</v>
      </c>
      <c r="C7" s="38">
        <f>INDEX('Weighted Scores &amp; Ranking'!$H$3:$H$7,MATCH(MATCH(A7,$A$3:$A$7,0),'Weighted Scores &amp; Ranking'!$I$3:$I$7,0))</f>
        <v>75.090106217925751</v>
      </c>
      <c r="D7" s="39">
        <f>INDEX('Weighted Scores &amp; Ranking'!$H$3:$H$7,MATCH(MATCH(Dashboard!A7,Dashboard!$A$3:$A$7,0),'Weighted Scores &amp; Ranking'!$I$3:$I$7,0))</f>
        <v>75.090106217925751</v>
      </c>
      <c r="E7" s="39" t="str">
        <f>INDEX('Weighted Scores &amp; Ranking'!$J$3:$J$7,MATCH(MATCH(Dashboard!A7,Dashboard!$A$3:$A$7,0),'Weighted Scores &amp; Ranking'!$I$3:$I$7,0))</f>
        <v>Review</v>
      </c>
    </row>
    <row r="10" spans="1:10" x14ac:dyDescent="0.3">
      <c r="C10" t="s">
        <v>28</v>
      </c>
      <c r="H10" t="s">
        <v>30</v>
      </c>
      <c r="I10" t="s">
        <v>31</v>
      </c>
      <c r="J10" t="s">
        <v>32</v>
      </c>
    </row>
    <row r="11" spans="1:10" x14ac:dyDescent="0.3">
      <c r="C11" t="s">
        <v>1</v>
      </c>
      <c r="D11" s="2">
        <f>'Weighted Scores &amp; Ranking'!G3</f>
        <v>0.90999999999999992</v>
      </c>
      <c r="H11" t="s">
        <v>8</v>
      </c>
      <c r="I11" s="2">
        <f>'Weights &amp; Normalization'!G4</f>
        <v>0.9375</v>
      </c>
      <c r="J11" s="2">
        <f>'Weights &amp; Normalization'!F4</f>
        <v>1</v>
      </c>
    </row>
    <row r="12" spans="1:10" x14ac:dyDescent="0.3">
      <c r="C12" t="s">
        <v>2</v>
      </c>
      <c r="D12" s="2">
        <f>'Weighted Scores &amp; Ranking'!G4</f>
        <v>0.921499433106576</v>
      </c>
      <c r="H12" t="s">
        <v>7</v>
      </c>
      <c r="I12" s="2">
        <f>'Weights &amp; Normalization'!G5</f>
        <v>0.93877551020408168</v>
      </c>
      <c r="J12" s="2">
        <f>'Weights &amp; Normalization'!F5</f>
        <v>1</v>
      </c>
    </row>
    <row r="13" spans="1:10" x14ac:dyDescent="0.3">
      <c r="C13" t="s">
        <v>3</v>
      </c>
      <c r="D13" s="2">
        <f>'Weighted Scores &amp; Ranking'!G5</f>
        <v>0.75691043083900234</v>
      </c>
      <c r="H13" t="s">
        <v>9</v>
      </c>
      <c r="I13" s="2">
        <f>'Weights &amp; Normalization'!G6</f>
        <v>0.77777777777777779</v>
      </c>
      <c r="J13" s="2">
        <f>'Weights &amp; Normalization'!F6</f>
        <v>1</v>
      </c>
    </row>
    <row r="14" spans="1:10" x14ac:dyDescent="0.3">
      <c r="C14" t="s">
        <v>4</v>
      </c>
      <c r="D14" s="2">
        <f>'Weighted Scores &amp; Ranking'!G6</f>
        <v>0.83266951942067169</v>
      </c>
      <c r="H14" t="s">
        <v>10</v>
      </c>
      <c r="I14" s="2">
        <f>'Weights &amp; Normalization'!G7</f>
        <v>1</v>
      </c>
      <c r="J14" s="2">
        <f>'Weights &amp; Normalization'!F7</f>
        <v>0.66666666666666663</v>
      </c>
    </row>
    <row r="15" spans="1:10" x14ac:dyDescent="0.3">
      <c r="C15" t="s">
        <v>5</v>
      </c>
      <c r="D15" s="2">
        <f>'Weighted Scores &amp; Ranking'!G7</f>
        <v>0.75090106217925756</v>
      </c>
      <c r="H15" t="s">
        <v>6</v>
      </c>
      <c r="I15" s="2">
        <f>'Weights &amp; Normalization'!G8</f>
        <v>1</v>
      </c>
      <c r="J15" s="2">
        <f>'Weights &amp; Normalization'!F8</f>
        <v>0.6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Data</vt:lpstr>
      <vt:lpstr>Weights &amp; Normalization</vt:lpstr>
      <vt:lpstr>Weighted Scores &amp; Ranking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 Sewani</dc:creator>
  <cp:lastModifiedBy>Yogen Sewani</cp:lastModifiedBy>
  <dcterms:created xsi:type="dcterms:W3CDTF">2026-05-13T05:21:29Z</dcterms:created>
  <dcterms:modified xsi:type="dcterms:W3CDTF">2026-05-13T10:16:42Z</dcterms:modified>
</cp:coreProperties>
</file>