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yogen\Documents\Yuva Intern Tasks\"/>
    </mc:Choice>
  </mc:AlternateContent>
  <xr:revisionPtr revIDLastSave="0" documentId="13_ncr:1_{E81E5E97-59AC-421B-B5B0-C9DB15C2E234}" xr6:coauthVersionLast="47" xr6:coauthVersionMax="47" xr10:uidLastSave="{00000000-0000-0000-0000-000000000000}"/>
  <bookViews>
    <workbookView xWindow="0" yWindow="0" windowWidth="23040" windowHeight="12240" xr2:uid="{9C2CFF6A-735F-45ED-9EC7-107B1A52D3EB}"/>
  </bookViews>
  <sheets>
    <sheet name="Charts" sheetId="5" r:id="rId1"/>
    <sheet name="Model and Analysis" sheetId="1" r:id="rId2"/>
  </sheets>
  <definedNames>
    <definedName name="solver_adj" localSheetId="1" hidden="1">'Model and Analysis'!$B$13:$D$15</definedName>
    <definedName name="solver_cvg" localSheetId="1" hidden="1">0.0001</definedName>
    <definedName name="solver_drv" localSheetId="1" hidden="1">2</definedName>
    <definedName name="solver_eng" localSheetId="1" hidden="1">2</definedName>
    <definedName name="solver_est" localSheetId="1" hidden="1">1</definedName>
    <definedName name="solver_itr" localSheetId="1" hidden="1">2147483647</definedName>
    <definedName name="solver_lhs1" localSheetId="1" hidden="1">'Model and Analysis'!$B$17:$D$17</definedName>
    <definedName name="solver_lhs2" localSheetId="1" hidden="1">'Model and Analysis'!$B$19:$D$19</definedName>
    <definedName name="solver_lhs3" localSheetId="1" hidden="1">'Model and Analysis'!$B$19:$D$19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2</definedName>
    <definedName name="solver_nwt" localSheetId="1" hidden="1">1</definedName>
    <definedName name="solver_opt" localSheetId="1" hidden="1">'Model and Analysis'!$E$16</definedName>
    <definedName name="solver_pre" localSheetId="1" hidden="1">0.000001</definedName>
    <definedName name="solver_rbv" localSheetId="1" hidden="1">2</definedName>
    <definedName name="solver_rel1" localSheetId="1" hidden="1">2</definedName>
    <definedName name="solver_rel2" localSheetId="1" hidden="1">2</definedName>
    <definedName name="solver_rel3" localSheetId="1" hidden="1">2</definedName>
    <definedName name="solver_rhs1" localSheetId="1" hidden="1">'Model and Analysis'!$B$7:$D$7</definedName>
    <definedName name="solver_rhs2" localSheetId="1" hidden="1">'Model and Analysis'!$B$9:$D$9</definedName>
    <definedName name="solver_rhs3" localSheetId="1" hidden="1">'Model and Analysis'!$E$3:$E$5</definedName>
    <definedName name="solver_rlx" localSheetId="1" hidden="1">2</definedName>
    <definedName name="solver_rsd" localSheetId="1" hidden="1">0</definedName>
    <definedName name="solver_scl" localSheetId="1" hidden="1">2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2</definedName>
    <definedName name="solver_val" localSheetId="1" hidden="1">0</definedName>
    <definedName name="solver_ver" localSheetId="1" hidden="1">3</definedName>
  </definedNames>
  <calcPr calcId="191029"/>
  <pivotCaches>
    <pivotCache cacheId="12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5" i="1" l="1"/>
  <c r="E14" i="1"/>
  <c r="E13" i="1"/>
  <c r="C19" i="1"/>
  <c r="D19" i="1"/>
  <c r="B19" i="1"/>
  <c r="D17" i="1"/>
  <c r="C17" i="1"/>
  <c r="B17" i="1"/>
  <c r="E16" i="1"/>
</calcChain>
</file>

<file path=xl/sharedStrings.xml><?xml version="1.0" encoding="utf-8"?>
<sst xmlns="http://schemas.openxmlformats.org/spreadsheetml/2006/main" count="28" uniqueCount="18">
  <si>
    <t>From (Warehouses) \ To (Retailers)</t>
  </si>
  <si>
    <t>Retailer 1</t>
  </si>
  <si>
    <t>Retailer 2</t>
  </si>
  <si>
    <t>Retailer 3</t>
  </si>
  <si>
    <t>Warehouse Capacity</t>
  </si>
  <si>
    <t>Warehouse A</t>
  </si>
  <si>
    <t>Warehouse B</t>
  </si>
  <si>
    <t>Warehouse C</t>
  </si>
  <si>
    <t>Total Demand</t>
  </si>
  <si>
    <t>1,650 (Total)</t>
  </si>
  <si>
    <t>THE COST MATRIX</t>
  </si>
  <si>
    <t>Total Received</t>
  </si>
  <si>
    <t>Total shipped</t>
  </si>
  <si>
    <t>THE SHIPMENT TABLE</t>
  </si>
  <si>
    <t>Grand Total</t>
  </si>
  <si>
    <t>Route Cost (Rs.)</t>
  </si>
  <si>
    <t>Sum of Route Cost (Rs.)</t>
  </si>
  <si>
    <t>Distribution centre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</si>
</sst>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₹&quot;\ * #,##0.00_ ;_ &quot;₹&quot;\ * \-#,##0.00_ ;_ &quot;₹&quot;\ * &quot;-&quot;??_ ;_ @_ "/>
    <numFmt numFmtId="164" formatCode="&quot;₹&quot;\ #,##0"/>
    <numFmt numFmtId="165" formatCode="_ [$₹-4009]\ * #,##0_ ;_ [$₹-4009]\ * \-#,##0_ ;_ [$₹-4009]\ * &quot;-&quot;??_ ;_ @_ 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1F1F1F"/>
      <name val="Arial"/>
      <family val="2"/>
    </font>
    <font>
      <sz val="14"/>
      <color rgb="FF1F1F1F"/>
      <name val="Arial"/>
      <family val="2"/>
    </font>
    <font>
      <b/>
      <sz val="16"/>
      <color theme="1"/>
      <name val="Arial Black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1" xfId="0" applyBorder="1"/>
    <xf numFmtId="0" fontId="3" fillId="0" borderId="1" xfId="0" applyFont="1" applyBorder="1" applyAlignment="1">
      <alignment horizontal="left" vertical="center" readingOrder="1"/>
    </xf>
    <xf numFmtId="0" fontId="3" fillId="0" borderId="1" xfId="0" applyFont="1" applyBorder="1" applyAlignment="1">
      <alignment vertical="center" readingOrder="1"/>
    </xf>
    <xf numFmtId="164" fontId="4" fillId="0" borderId="1" xfId="1" applyNumberFormat="1" applyFont="1" applyBorder="1" applyAlignment="1">
      <alignment horizontal="left" vertical="center" readingOrder="1"/>
    </xf>
    <xf numFmtId="0" fontId="3" fillId="0" borderId="1" xfId="0" applyFont="1" applyBorder="1" applyAlignment="1">
      <alignment horizontal="center" vertical="center" readingOrder="1"/>
    </xf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0" fontId="4" fillId="0" borderId="1" xfId="1" applyNumberFormat="1" applyFont="1" applyFill="1" applyBorder="1" applyAlignment="1">
      <alignment horizontal="left" vertical="center" readingOrder="1"/>
    </xf>
    <xf numFmtId="0" fontId="3" fillId="0" borderId="5" xfId="0" applyFont="1" applyBorder="1" applyAlignment="1">
      <alignment vertical="center" readingOrder="1"/>
    </xf>
    <xf numFmtId="0" fontId="0" fillId="0" borderId="6" xfId="0" applyBorder="1"/>
    <xf numFmtId="0" fontId="0" fillId="0" borderId="7" xfId="0" applyBorder="1"/>
    <xf numFmtId="0" fontId="3" fillId="0" borderId="5" xfId="0" applyFont="1" applyBorder="1" applyAlignment="1">
      <alignment horizontal="left" vertical="center" readingOrder="1"/>
    </xf>
    <xf numFmtId="0" fontId="2" fillId="0" borderId="1" xfId="0" applyFont="1" applyBorder="1"/>
    <xf numFmtId="0" fontId="4" fillId="0" borderId="1" xfId="0" applyFont="1" applyBorder="1" applyAlignment="1">
      <alignment horizontal="left" vertical="center" readingOrder="1"/>
    </xf>
    <xf numFmtId="0" fontId="5" fillId="2" borderId="1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[Distribution Cost Model.xlsx]Charts!PivotTable6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Total Route Cost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Charts!$B$3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Charts!$A$4:$A$7</c:f>
              <c:strCache>
                <c:ptCount val="3"/>
                <c:pt idx="0">
                  <c:v>Warehouse A</c:v>
                </c:pt>
                <c:pt idx="1">
                  <c:v>Warehouse B</c:v>
                </c:pt>
                <c:pt idx="2">
                  <c:v>Warehouse C</c:v>
                </c:pt>
              </c:strCache>
            </c:strRef>
          </c:cat>
          <c:val>
            <c:numRef>
              <c:f>Charts!$B$4:$B$7</c:f>
              <c:numCache>
                <c:formatCode>_ [$₹-4009]\ * #,##0_ ;_ [$₹-4009]\ * \-#,##0_ ;_ [$₹-4009]\ * "-"??_ ;_ @_ </c:formatCode>
                <c:ptCount val="3"/>
                <c:pt idx="0">
                  <c:v>2000</c:v>
                </c:pt>
                <c:pt idx="1">
                  <c:v>2800</c:v>
                </c:pt>
                <c:pt idx="2">
                  <c:v>4200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649-4822-BFE4-E54975499CC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436465168"/>
        <c:axId val="436468528"/>
        <c:axId val="0"/>
      </c:bar3DChart>
      <c:catAx>
        <c:axId val="436465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468528"/>
        <c:crosses val="autoZero"/>
        <c:auto val="1"/>
        <c:lblAlgn val="ctr"/>
        <c:lblOffset val="100"/>
        <c:noMultiLvlLbl val="0"/>
      </c:catAx>
      <c:valAx>
        <c:axId val="436468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[$₹-4009]\ * #,##0_ ;_ [$₹-4009]\ * \-#,##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465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glow rad="101600">
        <a:schemeClr val="accent1">
          <a:satMod val="175000"/>
          <a:alpha val="40000"/>
        </a:schemeClr>
      </a:glo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579120</xdr:colOff>
      <xdr:row>2</xdr:row>
      <xdr:rowOff>34290</xdr:rowOff>
    </xdr:from>
    <xdr:to>
      <xdr:col>4</xdr:col>
      <xdr:colOff>731520</xdr:colOff>
      <xdr:row>15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963DB3-0B0E-9142-7322-2D2272D054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ogen Sewani" refreshedDate="46175.644401736114" createdVersion="8" refreshedVersion="8" minRefreshableVersion="3" recordCount="3" xr:uid="{2264345E-9ECA-4B26-BE48-3DD02F03F6CD}">
  <cacheSource type="worksheet">
    <worksheetSource ref="A12:F15" sheet="Model and Analysis"/>
  </cacheSource>
  <cacheFields count="6">
    <cacheField name="From (Warehouses) \ To (Retailers)" numFmtId="0">
      <sharedItems count="3">
        <s v="Warehouse A"/>
        <s v="Warehouse B"/>
        <s v="Warehouse C"/>
      </sharedItems>
    </cacheField>
    <cacheField name="Retailer 1" numFmtId="0">
      <sharedItems containsSemiMixedTypes="0" containsString="0" containsNumber="1" containsInteger="1" minValue="0" maxValue="400" count="3">
        <n v="400"/>
        <n v="0"/>
        <n v="100"/>
      </sharedItems>
    </cacheField>
    <cacheField name="Retailer 2" numFmtId="0">
      <sharedItems containsSemiMixedTypes="0" containsString="0" containsNumber="1" containsInteger="1" minValue="0" maxValue="700" count="2">
        <n v="0"/>
        <n v="700"/>
      </sharedItems>
    </cacheField>
    <cacheField name="Retailer 3" numFmtId="0">
      <sharedItems containsSemiMixedTypes="0" containsString="0" containsNumber="1" containsInteger="1" minValue="0" maxValue="450" count="2">
        <n v="0"/>
        <n v="450"/>
      </sharedItems>
    </cacheField>
    <cacheField name="Route Cost (Rs.)" numFmtId="0">
      <sharedItems containsSemiMixedTypes="0" containsString="0" containsNumber="1" containsInteger="1" minValue="2000" maxValue="4200" count="3">
        <n v="2000"/>
        <n v="2800"/>
        <n v="4200"/>
      </sharedItems>
    </cacheField>
    <cacheField name="Field6" caption="Field6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 pivotCacheId="100960841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x v="0"/>
    <x v="0"/>
    <x v="0"/>
    <x v="0"/>
    <m/>
  </r>
  <r>
    <x v="1"/>
    <x v="1"/>
    <x v="1"/>
    <x v="0"/>
    <x v="1"/>
    <m/>
  </r>
  <r>
    <x v="2"/>
    <x v="2"/>
    <x v="0"/>
    <x v="1"/>
    <x v="2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9C2B67-5964-40A5-A99A-7089D61772D8}" name="PivotTable6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Distribution centre">
  <location ref="A3:B7" firstHeaderRow="1" firstDataRow="1" firstDataCol="1"/>
  <pivotFields count="6">
    <pivotField axis="axisRow" showAll="0">
      <items count="4">
        <item x="0"/>
        <item x="1"/>
        <item x="2"/>
        <item t="default"/>
      </items>
    </pivotField>
    <pivotField showAll="0">
      <items count="4">
        <item sd="0" x="1"/>
        <item sd="0" x="2"/>
        <item sd="0" x="0"/>
        <item t="default"/>
      </items>
    </pivotField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dataField="1" numFmtId="165" showAll="0">
      <items count="4">
        <item x="0"/>
        <item x="1"/>
        <item x="2"/>
        <item t="default"/>
      </items>
    </pivotField>
    <pivotField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Route Cost (Rs.)" fld="4" baseField="0" baseItem="0" numFmtId="165"/>
  </dataFields>
  <chartFormats count="3">
    <chartFormat chart="0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2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68339-536A-46F8-8F32-77BEA1D66A72}">
  <dimension ref="A3:B7"/>
  <sheetViews>
    <sheetView tabSelected="1" workbookViewId="0">
      <selection activeCell="A4" sqref="A4"/>
    </sheetView>
  </sheetViews>
  <sheetFormatPr defaultRowHeight="14.4" x14ac:dyDescent="0.3"/>
  <cols>
    <col min="1" max="1" width="18.88671875" bestFit="1" customWidth="1"/>
    <col min="2" max="2" width="21" bestFit="1" customWidth="1"/>
    <col min="3" max="4" width="12.109375" bestFit="1" customWidth="1"/>
    <col min="5" max="5" width="10.77734375" bestFit="1" customWidth="1"/>
    <col min="6" max="6" width="8.6640625" bestFit="1" customWidth="1"/>
    <col min="7" max="7" width="10.77734375" bestFit="1" customWidth="1"/>
    <col min="8" max="8" width="7.88671875" bestFit="1" customWidth="1"/>
    <col min="9" max="9" width="8.6640625" bestFit="1" customWidth="1"/>
    <col min="10" max="11" width="10.77734375" bestFit="1" customWidth="1"/>
    <col min="12" max="13" width="4" bestFit="1" customWidth="1"/>
    <col min="14" max="16" width="20.109375" bestFit="1" customWidth="1"/>
    <col min="17" max="17" width="23.77734375" bestFit="1" customWidth="1"/>
  </cols>
  <sheetData>
    <row r="3" spans="1:2" x14ac:dyDescent="0.3">
      <c r="A3" s="6" t="s">
        <v>17</v>
      </c>
      <c r="B3" t="s">
        <v>16</v>
      </c>
    </row>
    <row r="4" spans="1:2" x14ac:dyDescent="0.3">
      <c r="A4" s="7" t="s">
        <v>5</v>
      </c>
      <c r="B4" s="8">
        <v>2000</v>
      </c>
    </row>
    <row r="5" spans="1:2" x14ac:dyDescent="0.3">
      <c r="A5" s="7" t="s">
        <v>6</v>
      </c>
      <c r="B5" s="8">
        <v>2800</v>
      </c>
    </row>
    <row r="6" spans="1:2" x14ac:dyDescent="0.3">
      <c r="A6" s="7" t="s">
        <v>7</v>
      </c>
      <c r="B6" s="8">
        <v>4200</v>
      </c>
    </row>
    <row r="7" spans="1:2" x14ac:dyDescent="0.3">
      <c r="A7" s="7" t="s">
        <v>14</v>
      </c>
      <c r="B7" s="8">
        <v>9000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C75FF-B97C-4E6B-91F2-7EBC28BE5AB3}">
  <dimension ref="A1:E19"/>
  <sheetViews>
    <sheetView zoomScale="85" zoomScaleNormal="85" workbookViewId="0">
      <selection activeCell="A12" sqref="A12"/>
    </sheetView>
  </sheetViews>
  <sheetFormatPr defaultRowHeight="14.4" x14ac:dyDescent="0.3"/>
  <cols>
    <col min="1" max="1" width="45" bestFit="1" customWidth="1"/>
    <col min="2" max="4" width="13" bestFit="1" customWidth="1"/>
    <col min="5" max="5" width="21.88671875" bestFit="1" customWidth="1"/>
    <col min="6" max="6" width="19.88671875" bestFit="1" customWidth="1"/>
    <col min="7" max="7" width="26.5546875" bestFit="1" customWidth="1"/>
    <col min="8" max="8" width="10.5546875" bestFit="1" customWidth="1"/>
  </cols>
  <sheetData>
    <row r="1" spans="1:5" ht="25.2" x14ac:dyDescent="0.6">
      <c r="A1" s="16" t="s">
        <v>10</v>
      </c>
      <c r="B1" s="16"/>
      <c r="C1" s="16"/>
      <c r="D1" s="16"/>
      <c r="E1" s="16"/>
    </row>
    <row r="2" spans="1:5" ht="17.399999999999999" x14ac:dyDescent="0.3">
      <c r="A2" s="2" t="s">
        <v>0</v>
      </c>
      <c r="B2" s="2" t="s">
        <v>1</v>
      </c>
      <c r="C2" s="2" t="s">
        <v>2</v>
      </c>
      <c r="D2" s="2" t="s">
        <v>3</v>
      </c>
      <c r="E2" s="1"/>
    </row>
    <row r="3" spans="1:5" ht="17.399999999999999" x14ac:dyDescent="0.3">
      <c r="A3" s="15" t="s">
        <v>5</v>
      </c>
      <c r="B3" s="4">
        <v>5</v>
      </c>
      <c r="C3" s="4">
        <v>8</v>
      </c>
      <c r="D3" s="4">
        <v>12</v>
      </c>
      <c r="E3" s="3"/>
    </row>
    <row r="4" spans="1:5" ht="17.399999999999999" x14ac:dyDescent="0.3">
      <c r="A4" s="15" t="s">
        <v>6</v>
      </c>
      <c r="B4" s="4">
        <v>9</v>
      </c>
      <c r="C4" s="4">
        <v>4</v>
      </c>
      <c r="D4" s="4">
        <v>10</v>
      </c>
      <c r="E4" s="3"/>
    </row>
    <row r="5" spans="1:5" ht="17.399999999999999" x14ac:dyDescent="0.3">
      <c r="A5" s="15" t="s">
        <v>7</v>
      </c>
      <c r="B5" s="4">
        <v>15</v>
      </c>
      <c r="C5" s="4">
        <v>11</v>
      </c>
      <c r="D5" s="4">
        <v>6</v>
      </c>
      <c r="E5" s="3"/>
    </row>
    <row r="6" spans="1:5" ht="17.399999999999999" x14ac:dyDescent="0.3">
      <c r="A6" s="2"/>
      <c r="B6" s="4"/>
      <c r="C6" s="4"/>
      <c r="D6" s="4"/>
      <c r="E6" s="3"/>
    </row>
    <row r="7" spans="1:5" ht="17.399999999999999" x14ac:dyDescent="0.3">
      <c r="A7" s="2" t="s">
        <v>8</v>
      </c>
      <c r="B7" s="2">
        <v>400</v>
      </c>
      <c r="C7" s="2">
        <v>700</v>
      </c>
      <c r="D7" s="2">
        <v>550</v>
      </c>
      <c r="E7" s="5" t="s">
        <v>9</v>
      </c>
    </row>
    <row r="8" spans="1:5" ht="17.399999999999999" x14ac:dyDescent="0.3">
      <c r="A8" s="2"/>
      <c r="B8" s="2"/>
      <c r="C8" s="2"/>
      <c r="D8" s="2"/>
      <c r="E8" s="5"/>
    </row>
    <row r="9" spans="1:5" ht="17.399999999999999" x14ac:dyDescent="0.3">
      <c r="A9" s="3" t="s">
        <v>4</v>
      </c>
      <c r="B9" s="9">
        <v>500</v>
      </c>
      <c r="C9" s="9">
        <v>700</v>
      </c>
      <c r="D9" s="9">
        <v>450</v>
      </c>
      <c r="E9" s="1"/>
    </row>
    <row r="11" spans="1:5" ht="25.2" x14ac:dyDescent="0.6">
      <c r="A11" s="17" t="s">
        <v>13</v>
      </c>
      <c r="B11" s="18"/>
      <c r="C11" s="18"/>
      <c r="D11" s="18"/>
      <c r="E11" s="19"/>
    </row>
    <row r="12" spans="1:5" ht="17.399999999999999" x14ac:dyDescent="0.3">
      <c r="A12" s="2" t="s">
        <v>0</v>
      </c>
      <c r="B12" s="2" t="s">
        <v>1</v>
      </c>
      <c r="C12" s="2" t="s">
        <v>2</v>
      </c>
      <c r="D12" s="2" t="s">
        <v>3</v>
      </c>
      <c r="E12" s="2" t="s">
        <v>15</v>
      </c>
    </row>
    <row r="13" spans="1:5" ht="17.399999999999999" x14ac:dyDescent="0.3">
      <c r="A13" s="15" t="s">
        <v>5</v>
      </c>
      <c r="B13" s="1">
        <v>400</v>
      </c>
      <c r="C13" s="1">
        <v>0</v>
      </c>
      <c r="D13" s="1">
        <v>0</v>
      </c>
      <c r="E13" s="1">
        <f>SUMPRODUCT(B3:D3,B13:D13)</f>
        <v>2000</v>
      </c>
    </row>
    <row r="14" spans="1:5" ht="17.399999999999999" x14ac:dyDescent="0.3">
      <c r="A14" s="15" t="s">
        <v>6</v>
      </c>
      <c r="B14" s="1">
        <v>0</v>
      </c>
      <c r="C14" s="1">
        <v>700</v>
      </c>
      <c r="D14" s="1">
        <v>0</v>
      </c>
      <c r="E14" s="1">
        <f>SUMPRODUCT(B4:D4,B14:D14)</f>
        <v>2800</v>
      </c>
    </row>
    <row r="15" spans="1:5" ht="17.399999999999999" x14ac:dyDescent="0.3">
      <c r="A15" s="15" t="s">
        <v>7</v>
      </c>
      <c r="B15" s="1">
        <v>100</v>
      </c>
      <c r="C15" s="1">
        <v>0</v>
      </c>
      <c r="D15" s="1">
        <v>450</v>
      </c>
      <c r="E15" s="1">
        <f>SUMPRODUCT(B5:D5,B15:D15)</f>
        <v>4200</v>
      </c>
    </row>
    <row r="16" spans="1:5" ht="15" thickBot="1" x14ac:dyDescent="0.35">
      <c r="E16" s="14">
        <f>SUMPRODUCT(B3:D5,B13:D15)</f>
        <v>9000</v>
      </c>
    </row>
    <row r="17" spans="1:4" ht="18" thickBot="1" x14ac:dyDescent="0.35">
      <c r="A17" s="10" t="s">
        <v>12</v>
      </c>
      <c r="B17" s="11">
        <f>SUM(B13:D13)</f>
        <v>400</v>
      </c>
      <c r="C17" s="11">
        <f>SUM(B14:D14)</f>
        <v>700</v>
      </c>
      <c r="D17" s="12">
        <f>SUM(B15:D15)</f>
        <v>550</v>
      </c>
    </row>
    <row r="18" spans="1:4" ht="15" thickBot="1" x14ac:dyDescent="0.35"/>
    <row r="19" spans="1:4" ht="18" thickBot="1" x14ac:dyDescent="0.35">
      <c r="A19" s="13" t="s">
        <v>11</v>
      </c>
      <c r="B19" s="11">
        <f>SUM(B13:B15)</f>
        <v>500</v>
      </c>
      <c r="C19" s="11">
        <f t="shared" ref="C19:D19" si="0">SUM(C13:C15)</f>
        <v>700</v>
      </c>
      <c r="D19" s="12">
        <f t="shared" si="0"/>
        <v>450</v>
      </c>
    </row>
  </sheetData>
  <scenarios current="0">
    <scenario name="Sensitivity" count="9" user="Yogen Sewani" comment="Created by Yogen Sewani on 5/12/2026">
      <inputCells r="B13" val="500"/>
      <inputCells r="C13" val="0"/>
      <inputCells r="D13" val="0"/>
      <inputCells r="B14" val="0"/>
      <inputCells r="C14" val="750"/>
      <inputCells r="D14" val="0"/>
      <inputCells r="B15" val="0"/>
      <inputCells r="C15" val="0"/>
      <inputCells r="D15" val="400"/>
    </scenario>
  </scenarios>
  <mergeCells count="2">
    <mergeCell ref="A1:E1"/>
    <mergeCell ref="A11:E11"/>
  </mergeCells>
  <conditionalFormatting sqref="B3:D6">
    <cfRule type="colorScale" priority="2">
      <colorScale>
        <cfvo type="min"/>
        <cfvo type="percentile" val="50"/>
        <cfvo type="max"/>
        <color theme="9" tint="0.39997558519241921"/>
        <color rgb="FFFFEB84"/>
        <color rgb="FFFF3300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Charts</vt:lpstr>
      <vt:lpstr>Model and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Yogen Sewani</dc:creator>
  <cp:lastModifiedBy>Yogen Sewani</cp:lastModifiedBy>
  <dcterms:created xsi:type="dcterms:W3CDTF">2026-05-09T07:00:17Z</dcterms:created>
  <dcterms:modified xsi:type="dcterms:W3CDTF">2026-06-02T10:03:02Z</dcterms:modified>
</cp:coreProperties>
</file>