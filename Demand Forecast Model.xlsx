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n\Documents\Yuva Intern Tasks\"/>
    </mc:Choice>
  </mc:AlternateContent>
  <xr:revisionPtr revIDLastSave="0" documentId="13_ncr:1_{2F1F4576-8729-472B-B5CD-EF174DB70D3A}" xr6:coauthVersionLast="47" xr6:coauthVersionMax="47" xr10:uidLastSave="{00000000-0000-0000-0000-000000000000}"/>
  <bookViews>
    <workbookView xWindow="0" yWindow="360" windowWidth="23256" windowHeight="12456" activeTab="1" xr2:uid="{570B59D0-AB6F-4AEF-8255-12D944CA2AAA}"/>
  </bookViews>
  <sheets>
    <sheet name="Forecast Sheet" sheetId="2" r:id="rId1"/>
    <sheet name="Historical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J28" i="1"/>
  <c r="J17" i="1"/>
  <c r="K23" i="1"/>
  <c r="K24" i="1"/>
  <c r="K26" i="1"/>
  <c r="K27" i="1"/>
  <c r="K28" i="1"/>
  <c r="J27" i="1"/>
  <c r="K20" i="1"/>
  <c r="J20" i="1"/>
  <c r="K25" i="1"/>
  <c r="J22" i="1"/>
  <c r="J24" i="1"/>
  <c r="K17" i="1"/>
  <c r="J26" i="1"/>
  <c r="K21" i="1"/>
  <c r="J18" i="1"/>
  <c r="J19" i="1"/>
  <c r="J21" i="1"/>
  <c r="J23" i="1"/>
  <c r="J25" i="1"/>
  <c r="K18" i="1"/>
  <c r="K19" i="1"/>
  <c r="J29" i="1" l="1"/>
  <c r="M25" i="1"/>
  <c r="L25" i="1"/>
  <c r="M23" i="1"/>
  <c r="L23" i="1"/>
  <c r="M21" i="1"/>
  <c r="L21" i="1"/>
  <c r="M19" i="1"/>
  <c r="L19" i="1"/>
  <c r="M18" i="1"/>
  <c r="L18" i="1"/>
  <c r="L26" i="1"/>
  <c r="M26" i="1"/>
  <c r="L24" i="1"/>
  <c r="M24" i="1"/>
  <c r="L22" i="1"/>
  <c r="M22" i="1"/>
  <c r="M20" i="1"/>
  <c r="L20" i="1"/>
  <c r="L27" i="1"/>
  <c r="M27" i="1"/>
  <c r="M17" i="1"/>
  <c r="L17" i="1"/>
  <c r="M28" i="1"/>
  <c r="L28" i="1"/>
  <c r="F5" i="1"/>
  <c r="F6" i="1"/>
  <c r="F7" i="1"/>
  <c r="F8" i="1"/>
  <c r="F9" i="1"/>
  <c r="F10" i="1"/>
  <c r="F11" i="1"/>
  <c r="F12" i="1"/>
  <c r="F13" i="1"/>
  <c r="F14" i="1"/>
  <c r="F15" i="1"/>
  <c r="F4" i="1"/>
  <c r="E5" i="1"/>
  <c r="G5" i="1" s="1"/>
  <c r="E6" i="1"/>
  <c r="E7" i="1"/>
  <c r="E8" i="1"/>
  <c r="E9" i="1"/>
  <c r="G9" i="1" s="1"/>
  <c r="E10" i="1"/>
  <c r="E11" i="1"/>
  <c r="G11" i="1" s="1"/>
  <c r="E12" i="1"/>
  <c r="G12" i="1" s="1"/>
  <c r="E13" i="1"/>
  <c r="E14" i="1"/>
  <c r="G14" i="1" s="1"/>
  <c r="E15" i="1"/>
  <c r="G15" i="1" s="1"/>
  <c r="E4" i="1"/>
  <c r="G4" i="1" s="1"/>
  <c r="K5" i="1"/>
  <c r="K8" i="1"/>
  <c r="K9" i="1"/>
  <c r="K10" i="1"/>
  <c r="K11" i="1"/>
  <c r="K12" i="1"/>
  <c r="K13" i="1"/>
  <c r="K14" i="1"/>
  <c r="K15" i="1"/>
  <c r="K6" i="1"/>
  <c r="K7" i="1"/>
  <c r="K4" i="1"/>
  <c r="J6" i="1"/>
  <c r="J7" i="1"/>
  <c r="J8" i="1"/>
  <c r="J9" i="1"/>
  <c r="J10" i="1"/>
  <c r="J11" i="1"/>
  <c r="J12" i="1"/>
  <c r="J13" i="1"/>
  <c r="J14" i="1"/>
  <c r="J15" i="1"/>
  <c r="J5" i="1"/>
  <c r="J4" i="1"/>
  <c r="C55" i="2"/>
  <c r="C38" i="2"/>
  <c r="C50" i="2"/>
  <c r="C56" i="2"/>
  <c r="C39" i="2"/>
  <c r="C45" i="2"/>
  <c r="C51" i="2"/>
  <c r="C57" i="2"/>
  <c r="C40" i="2"/>
  <c r="C46" i="2"/>
  <c r="C52" i="2"/>
  <c r="C58" i="2"/>
  <c r="C41" i="2"/>
  <c r="C47" i="2"/>
  <c r="C59" i="2"/>
  <c r="C42" i="2"/>
  <c r="C48" i="2"/>
  <c r="C54" i="2"/>
  <c r="C60" i="2"/>
  <c r="C43" i="2"/>
  <c r="C49" i="2"/>
  <c r="C61" i="2"/>
  <c r="C44" i="2"/>
  <c r="C53" i="2"/>
  <c r="I26" i="2" l="1"/>
  <c r="J16" i="1"/>
  <c r="L29" i="1"/>
  <c r="M29" i="1"/>
  <c r="G6" i="1"/>
  <c r="M4" i="1"/>
  <c r="L4" i="1"/>
  <c r="L5" i="1"/>
  <c r="M5" i="1"/>
  <c r="L15" i="1"/>
  <c r="M15" i="1"/>
  <c r="M14" i="1"/>
  <c r="L14" i="1"/>
  <c r="L13" i="1"/>
  <c r="M13" i="1"/>
  <c r="L12" i="1"/>
  <c r="M12" i="1"/>
  <c r="L11" i="1"/>
  <c r="M11" i="1"/>
  <c r="L10" i="1"/>
  <c r="M10" i="1"/>
  <c r="L9" i="1"/>
  <c r="M9" i="1"/>
  <c r="L8" i="1"/>
  <c r="M8" i="1"/>
  <c r="M7" i="1"/>
  <c r="L7" i="1"/>
  <c r="M6" i="1"/>
  <c r="L6" i="1"/>
  <c r="G10" i="1"/>
  <c r="G8" i="1"/>
  <c r="G13" i="1"/>
  <c r="G7" i="1"/>
  <c r="D49" i="2"/>
  <c r="E51" i="2"/>
  <c r="D47" i="2"/>
  <c r="E39" i="2"/>
  <c r="D46" i="2"/>
  <c r="D48" i="2"/>
  <c r="D38" i="2"/>
  <c r="D53" i="2"/>
  <c r="D43" i="2"/>
  <c r="D45" i="2"/>
  <c r="E47" i="2"/>
  <c r="E56" i="2"/>
  <c r="D40" i="2"/>
  <c r="D39" i="2"/>
  <c r="E41" i="2"/>
  <c r="D44" i="2"/>
  <c r="E49" i="2"/>
  <c r="E48" i="2"/>
  <c r="D61" i="2"/>
  <c r="D41" i="2"/>
  <c r="E46" i="2"/>
  <c r="E42" i="2"/>
  <c r="D58" i="2"/>
  <c r="E44" i="2"/>
  <c r="E43" i="2"/>
  <c r="D59" i="2"/>
  <c r="D52" i="2"/>
  <c r="E38" i="2"/>
  <c r="E40" i="2"/>
  <c r="D56" i="2"/>
  <c r="D60" i="2"/>
  <c r="D55" i="2"/>
  <c r="E61" i="2"/>
  <c r="D51" i="2"/>
  <c r="D50" i="2"/>
  <c r="D57" i="2"/>
  <c r="E58" i="2"/>
  <c r="E60" i="2"/>
  <c r="E59" i="2"/>
  <c r="D54" i="2"/>
  <c r="E55" i="2"/>
  <c r="E57" i="2"/>
  <c r="E53" i="2"/>
  <c r="D42" i="2"/>
  <c r="E52" i="2"/>
  <c r="E54" i="2"/>
  <c r="E50" i="2"/>
  <c r="E45" i="2"/>
  <c r="L16" i="1" l="1"/>
  <c r="M16" i="1"/>
  <c r="I28" i="2"/>
  <c r="I27" i="2"/>
</calcChain>
</file>

<file path=xl/sharedStrings.xml><?xml version="1.0" encoding="utf-8"?>
<sst xmlns="http://schemas.openxmlformats.org/spreadsheetml/2006/main" count="37" uniqueCount="29">
  <si>
    <t>MONTH</t>
  </si>
  <si>
    <t>ACTUAL DEMAND</t>
  </si>
  <si>
    <t>MAY</t>
  </si>
  <si>
    <t>AVG DEMAND BY MONTH</t>
  </si>
  <si>
    <t>AVG MONTHLY DEMAND</t>
  </si>
  <si>
    <t>SEASONALITY INDEX</t>
  </si>
  <si>
    <t>FORECAST</t>
  </si>
  <si>
    <t>SEASONAL</t>
  </si>
  <si>
    <t>CONFIDENCE</t>
  </si>
  <si>
    <t>UPPER BOUND</t>
  </si>
  <si>
    <t>LOWER BOUND</t>
  </si>
  <si>
    <t>Month</t>
  </si>
  <si>
    <t>HISTORICAL DATA</t>
  </si>
  <si>
    <t>Lower Confidence Bound (ACTUAL DEMAND)</t>
  </si>
  <si>
    <t>Upper Confidence Bound (ACTUAL DEMAND)</t>
  </si>
  <si>
    <t>Forecast (ACTUAL DEMAND)</t>
  </si>
  <si>
    <t>TOTAL</t>
  </si>
  <si>
    <t>For years 2022, 2023 and 2024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</si>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</sst>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17" fontId="0" fillId="0" borderId="0" xfId="0" applyNumberFormat="1"/>
    <xf numFmtId="0" fontId="0" fillId="0" borderId="1" xfId="0" applyBorder="1"/>
    <xf numFmtId="1" fontId="0" fillId="0" borderId="1" xfId="0" applyNumberFormat="1" applyBorder="1"/>
    <xf numFmtId="17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5" fillId="0" borderId="1" xfId="0" applyNumberFormat="1" applyFont="1" applyBorder="1"/>
    <xf numFmtId="0" fontId="0" fillId="4" borderId="0" xfId="0" applyFill="1"/>
    <xf numFmtId="0" fontId="0" fillId="0" borderId="4" xfId="0" applyBorder="1"/>
    <xf numFmtId="0" fontId="0" fillId="4" borderId="5" xfId="0" applyFill="1" applyBorder="1"/>
    <xf numFmtId="0" fontId="0" fillId="4" borderId="6" xfId="0" applyFill="1" applyBorder="1"/>
    <xf numFmtId="17" fontId="0" fillId="4" borderId="4" xfId="0" applyNumberFormat="1" applyFill="1" applyBorder="1"/>
    <xf numFmtId="0" fontId="0" fillId="4" borderId="4" xfId="0" applyFill="1" applyBorder="1"/>
    <xf numFmtId="0" fontId="0" fillId="4" borderId="7" xfId="0" applyFill="1" applyBorder="1"/>
    <xf numFmtId="0" fontId="0" fillId="0" borderId="6" xfId="0" applyBorder="1"/>
    <xf numFmtId="0" fontId="1" fillId="5" borderId="1" xfId="0" applyFont="1" applyFill="1" applyBorder="1"/>
    <xf numFmtId="0" fontId="1" fillId="6" borderId="1" xfId="0" applyFont="1" applyFill="1" applyBorder="1"/>
    <xf numFmtId="1" fontId="1" fillId="0" borderId="1" xfId="0" applyNumberFormat="1" applyFont="1" applyBorder="1"/>
    <xf numFmtId="0" fontId="1" fillId="3" borderId="0" xfId="0" applyFont="1" applyFill="1"/>
    <xf numFmtId="1" fontId="1" fillId="3" borderId="0" xfId="0" applyNumberFormat="1" applyFont="1" applyFill="1"/>
    <xf numFmtId="1" fontId="0" fillId="0" borderId="3" xfId="0" applyNumberForma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Sheet'!$B$2:$B$61</c:f>
              <c:numCache>
                <c:formatCode>General</c:formatCode>
                <c:ptCount val="60"/>
                <c:pt idx="0">
                  <c:v>831</c:v>
                </c:pt>
                <c:pt idx="1">
                  <c:v>743</c:v>
                </c:pt>
                <c:pt idx="2">
                  <c:v>860</c:v>
                </c:pt>
                <c:pt idx="3">
                  <c:v>895</c:v>
                </c:pt>
                <c:pt idx="4">
                  <c:v>993</c:v>
                </c:pt>
                <c:pt idx="5">
                  <c:v>1018</c:v>
                </c:pt>
                <c:pt idx="6">
                  <c:v>1091</c:v>
                </c:pt>
                <c:pt idx="7">
                  <c:v>1035</c:v>
                </c:pt>
                <c:pt idx="8">
                  <c:v>1052</c:v>
                </c:pt>
                <c:pt idx="9">
                  <c:v>1067</c:v>
                </c:pt>
                <c:pt idx="10">
                  <c:v>1147</c:v>
                </c:pt>
                <c:pt idx="11">
                  <c:v>1241</c:v>
                </c:pt>
                <c:pt idx="12">
                  <c:v>844</c:v>
                </c:pt>
                <c:pt idx="13">
                  <c:v>817</c:v>
                </c:pt>
                <c:pt idx="14">
                  <c:v>965</c:v>
                </c:pt>
                <c:pt idx="15">
                  <c:v>998</c:v>
                </c:pt>
                <c:pt idx="16">
                  <c:v>1018</c:v>
                </c:pt>
                <c:pt idx="17">
                  <c:v>1090</c:v>
                </c:pt>
                <c:pt idx="18">
                  <c:v>1169</c:v>
                </c:pt>
                <c:pt idx="19">
                  <c:v>1109</c:v>
                </c:pt>
                <c:pt idx="20">
                  <c:v>1180</c:v>
                </c:pt>
                <c:pt idx="21">
                  <c:v>1234</c:v>
                </c:pt>
                <c:pt idx="22">
                  <c:v>1254</c:v>
                </c:pt>
                <c:pt idx="23">
                  <c:v>1293</c:v>
                </c:pt>
                <c:pt idx="24">
                  <c:v>1000</c:v>
                </c:pt>
                <c:pt idx="25">
                  <c:v>895</c:v>
                </c:pt>
                <c:pt idx="26">
                  <c:v>985</c:v>
                </c:pt>
                <c:pt idx="27">
                  <c:v>1030</c:v>
                </c:pt>
                <c:pt idx="28">
                  <c:v>1171</c:v>
                </c:pt>
                <c:pt idx="29">
                  <c:v>1178</c:v>
                </c:pt>
                <c:pt idx="30">
                  <c:v>1262</c:v>
                </c:pt>
                <c:pt idx="31">
                  <c:v>1289</c:v>
                </c:pt>
                <c:pt idx="32">
                  <c:v>1241</c:v>
                </c:pt>
                <c:pt idx="33">
                  <c:v>1368</c:v>
                </c:pt>
                <c:pt idx="34">
                  <c:v>1360</c:v>
                </c:pt>
                <c:pt idx="35">
                  <c:v>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9-4E8F-A177-9CB1F0B4B24E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 (ACTUAL DEMAND)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'Forecast Sheet'!$C$2:$C$61</c:f>
              <c:numCache>
                <c:formatCode>General</c:formatCode>
                <c:ptCount val="60"/>
                <c:pt idx="35">
                  <c:v>1454</c:v>
                </c:pt>
                <c:pt idx="36" formatCode="0">
                  <c:v>1081.7105565159127</c:v>
                </c:pt>
                <c:pt idx="37" formatCode="0">
                  <c:v>1022.3109285326557</c:v>
                </c:pt>
                <c:pt idx="38" formatCode="0">
                  <c:v>1154.450480450864</c:v>
                </c:pt>
                <c:pt idx="39" formatCode="0">
                  <c:v>1195.3552711598741</c:v>
                </c:pt>
                <c:pt idx="40" formatCode="0">
                  <c:v>1260.2467429562487</c:v>
                </c:pt>
                <c:pt idx="41" formatCode="0">
                  <c:v>1308.3537705934423</c:v>
                </c:pt>
                <c:pt idx="42" formatCode="0">
                  <c:v>1387.5454159080552</c:v>
                </c:pt>
                <c:pt idx="43" formatCode="0">
                  <c:v>1351.545134272809</c:v>
                </c:pt>
                <c:pt idx="44" formatCode="0">
                  <c:v>1369.8685445035408</c:v>
                </c:pt>
                <c:pt idx="45" formatCode="0">
                  <c:v>1431.0617170729379</c:v>
                </c:pt>
                <c:pt idx="46" formatCode="0">
                  <c:v>1460.3025670980549</c:v>
                </c:pt>
                <c:pt idx="47" formatCode="0">
                  <c:v>1545.7301886412727</c:v>
                </c:pt>
                <c:pt idx="48" formatCode="0">
                  <c:v>1177.4960572187319</c:v>
                </c:pt>
                <c:pt idx="49" formatCode="0">
                  <c:v>1118.0964292354749</c:v>
                </c:pt>
                <c:pt idx="50" formatCode="0">
                  <c:v>1250.2359811536833</c:v>
                </c:pt>
                <c:pt idx="51" formatCode="0">
                  <c:v>1291.1407718626933</c:v>
                </c:pt>
                <c:pt idx="52" formatCode="0">
                  <c:v>1356.0322436590679</c:v>
                </c:pt>
                <c:pt idx="53" formatCode="0">
                  <c:v>1404.1392712962615</c:v>
                </c:pt>
                <c:pt idx="54" formatCode="0">
                  <c:v>1483.3309166108745</c:v>
                </c:pt>
                <c:pt idx="55" formatCode="0">
                  <c:v>1447.3306349756283</c:v>
                </c:pt>
                <c:pt idx="56" formatCode="0">
                  <c:v>1465.65404520636</c:v>
                </c:pt>
                <c:pt idx="57" formatCode="0">
                  <c:v>1526.8472177757574</c:v>
                </c:pt>
                <c:pt idx="58" formatCode="0">
                  <c:v>1556.0880678008743</c:v>
                </c:pt>
                <c:pt idx="59" formatCode="0">
                  <c:v>1641.5156893440922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9-4E8F-A177-9CB1F0B4B24E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 (ACTUAL DEMAND)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'Forecast Sheet'!$D$2:$D$61</c:f>
              <c:numCache>
                <c:formatCode>General</c:formatCode>
                <c:ptCount val="60"/>
                <c:pt idx="35" formatCode="0">
                  <c:v>1454</c:v>
                </c:pt>
                <c:pt idx="36" formatCode="0">
                  <c:v>1004.9345651095788</c:v>
                </c:pt>
                <c:pt idx="37" formatCode="0">
                  <c:v>943.13466604812118</c:v>
                </c:pt>
                <c:pt idx="38" formatCode="0">
                  <c:v>1072.9263430754411</c:v>
                </c:pt>
                <c:pt idx="39" formatCode="0">
                  <c:v>1111.5311818603655</c:v>
                </c:pt>
                <c:pt idx="40" formatCode="0">
                  <c:v>1174.1667148058057</c:v>
                </c:pt>
                <c:pt idx="41" formatCode="0">
                  <c:v>1220.0583762493445</c:v>
                </c:pt>
                <c:pt idx="42" formatCode="0">
                  <c:v>1297.0721823856825</c:v>
                </c:pt>
                <c:pt idx="43" formatCode="0">
                  <c:v>1258.9288775986761</c:v>
                </c:pt>
                <c:pt idx="44" formatCode="0">
                  <c:v>1275.1416554989357</c:v>
                </c:pt>
                <c:pt idx="45" formatCode="0">
                  <c:v>1334.2544070515085</c:v>
                </c:pt>
                <c:pt idx="46" formatCode="0">
                  <c:v>1361.4430804075116</c:v>
                </c:pt>
                <c:pt idx="47" formatCode="0">
                  <c:v>1444.8449875709762</c:v>
                </c:pt>
                <c:pt idx="48" formatCode="0">
                  <c:v>1069.1951459775664</c:v>
                </c:pt>
                <c:pt idx="49" formatCode="0">
                  <c:v>1007.9151507370466</c:v>
                </c:pt>
                <c:pt idx="50" formatCode="0">
                  <c:v>1138.1919759330081</c:v>
                </c:pt>
                <c:pt idx="51" formatCode="0">
                  <c:v>1177.2507631358521</c:v>
                </c:pt>
                <c:pt idx="52" formatCode="0">
                  <c:v>1240.3121033792461</c:v>
                </c:pt>
                <c:pt idx="53" formatCode="0">
                  <c:v>1286.6040798396532</c:v>
                </c:pt>
                <c:pt idx="54" formatCode="0">
                  <c:v>1363.9950168573412</c:v>
                </c:pt>
                <c:pt idx="55" formatCode="0">
                  <c:v>1326.2076814398977</c:v>
                </c:pt>
                <c:pt idx="56" formatCode="0">
                  <c:v>1342.7570487843664</c:v>
                </c:pt>
                <c:pt idx="57" formatCode="0">
                  <c:v>1402.1885865941288</c:v>
                </c:pt>
                <c:pt idx="58" formatCode="0">
                  <c:v>1429.6796445929494</c:v>
                </c:pt>
                <c:pt idx="59" formatCode="0">
                  <c:v>1513.3687857210907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9-4E8F-A177-9CB1F0B4B24E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 (ACTUAL DEMAND)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Sheet'!$A$2:$A$61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'Forecast Sheet'!$E$2:$E$61</c:f>
              <c:numCache>
                <c:formatCode>General</c:formatCode>
                <c:ptCount val="60"/>
                <c:pt idx="35" formatCode="0">
                  <c:v>1454</c:v>
                </c:pt>
                <c:pt idx="36" formatCode="0">
                  <c:v>1158.4865479222467</c:v>
                </c:pt>
                <c:pt idx="37" formatCode="0">
                  <c:v>1101.4871910171901</c:v>
                </c:pt>
                <c:pt idx="38" formatCode="0">
                  <c:v>1235.9746178262869</c:v>
                </c:pt>
                <c:pt idx="39" formatCode="0">
                  <c:v>1279.1793604593827</c:v>
                </c:pt>
                <c:pt idx="40" formatCode="0">
                  <c:v>1346.3267711066917</c:v>
                </c:pt>
                <c:pt idx="41" formatCode="0">
                  <c:v>1396.64916493754</c:v>
                </c:pt>
                <c:pt idx="42" formatCode="0">
                  <c:v>1478.018649430428</c:v>
                </c:pt>
                <c:pt idx="43" formatCode="0">
                  <c:v>1444.161390946942</c:v>
                </c:pt>
                <c:pt idx="44" formatCode="0">
                  <c:v>1464.5954335081458</c:v>
                </c:pt>
                <c:pt idx="45" formatCode="0">
                  <c:v>1527.8690270943673</c:v>
                </c:pt>
                <c:pt idx="46" formatCode="0">
                  <c:v>1559.1620537885981</c:v>
                </c:pt>
                <c:pt idx="47" formatCode="0">
                  <c:v>1646.6153897115692</c:v>
                </c:pt>
                <c:pt idx="48" formatCode="0">
                  <c:v>1285.7969684598975</c:v>
                </c:pt>
                <c:pt idx="49" formatCode="0">
                  <c:v>1228.2777077339033</c:v>
                </c:pt>
                <c:pt idx="50" formatCode="0">
                  <c:v>1362.2799863743585</c:v>
                </c:pt>
                <c:pt idx="51" formatCode="0">
                  <c:v>1405.0307805895345</c:v>
                </c:pt>
                <c:pt idx="52" formatCode="0">
                  <c:v>1471.7523839388898</c:v>
                </c:pt>
                <c:pt idx="53" formatCode="0">
                  <c:v>1521.6744627528699</c:v>
                </c:pt>
                <c:pt idx="54" formatCode="0">
                  <c:v>1602.6668163644079</c:v>
                </c:pt>
                <c:pt idx="55" formatCode="0">
                  <c:v>1568.4535885113589</c:v>
                </c:pt>
                <c:pt idx="56" formatCode="0">
                  <c:v>1588.5510416283537</c:v>
                </c:pt>
                <c:pt idx="57" formatCode="0">
                  <c:v>1651.505848957386</c:v>
                </c:pt>
                <c:pt idx="58" formatCode="0">
                  <c:v>1682.4964910087992</c:v>
                </c:pt>
                <c:pt idx="59" formatCode="0">
                  <c:v>1769.6625929670936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49-4E8F-A177-9CB1F0B4B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13323759"/>
        <c:axId val="613324719"/>
      </c:lineChart>
      <c:catAx>
        <c:axId val="6133237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24719"/>
        <c:crosses val="autoZero"/>
        <c:auto val="1"/>
        <c:lblAlgn val="ctr"/>
        <c:lblOffset val="100"/>
        <c:noMultiLvlLbl val="0"/>
      </c:catAx>
      <c:valAx>
        <c:axId val="61332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237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 rad="228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601979</xdr:colOff>
      <xdr:row>30</xdr:row>
      <xdr:rowOff>97971</xdr:rowOff>
    </xdr:from>
    <xdr:to>
      <xdr:col>17</xdr:col>
      <xdr:colOff>391886</xdr:colOff>
      <xdr:row>49</xdr:row>
      <xdr:rowOff>130627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953A3-AC3A-EF66-045B-081D7A9DB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391885</xdr:colOff>
      <xdr:row>22</xdr:row>
      <xdr:rowOff>10887</xdr:rowOff>
    </xdr:from>
    <xdr:to>
      <xdr:col>14</xdr:col>
      <xdr:colOff>413656</xdr:colOff>
      <xdr:row>28</xdr:row>
      <xdr:rowOff>76201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73252CEF-5C98-8529-37A2-7F7AF25EE861}"/>
            </a:ext>
          </a:extLst>
        </xdr:cNvPr>
        <xdr:cNvSpPr/>
      </xdr:nvSpPr>
      <xdr:spPr>
        <a:xfrm>
          <a:off x="15729856" y="4082144"/>
          <a:ext cx="1850571" cy="1197428"/>
        </a:xfrm>
        <a:prstGeom prst="borderCallout1">
          <a:avLst>
            <a:gd name="adj1" fmla="val 23052"/>
            <a:gd name="adj2" fmla="val -5392"/>
            <a:gd name="adj3" fmla="val 40134"/>
            <a:gd name="adj4" fmla="val -69509"/>
          </a:avLst>
        </a:prstGeom>
        <a:ln>
          <a:solidFill>
            <a:schemeClr val="tx1">
              <a:lumMod val="85000"/>
              <a:lumOff val="1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This Cell contains a list dropdown button to choose the month for which forecast is needed.</a:t>
          </a:r>
          <a:r>
            <a:rPr lang="en-GB" sz="1100" b="1" baseline="0"/>
            <a:t> the results for the same appear below once clicked.</a:t>
          </a:r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D6CCE-1EB5-4887-AE0B-6608376B9A4E}" name="Table1" displayName="Table1" ref="A1:E61" totalsRowShown="0">
  <tableColumns count="5">
    <tableColumn id="1" xr3:uid="{92C70573-9219-4539-BDF4-B0E7FEFEB5B2}" name="MONTH" dataDxfId="2"/>
    <tableColumn id="2" xr3:uid="{9E3F74B2-8CC3-4A6C-8B64-4339123E84EC}" name="ACTUAL DEMAND"/>
    <tableColumn id="3" xr3:uid="{1B984F85-56AC-4563-A1FB-7967BB549CBF}" name="Forecast (ACTUAL DEMAND)">
      <calculatedColumnFormula>_xlfn.FORECAST.ETS(A2,$B$2:$B$37,$A$2:$A$37,1,1)</calculatedColumnFormula>
    </tableColumn>
    <tableColumn id="4" xr3:uid="{6EACDD84-758E-457A-AD1F-1F1187E500C8}" name="Lower Confidence Bound (ACTUAL DEMAND)" dataDxfId="1">
      <calculatedColumnFormula>C2-_xlfn.FORECAST.ETS.CONFINT(A2,$B$2:$B$37,$A$2:$A$37,0.95,1,1)</calculatedColumnFormula>
    </tableColumn>
    <tableColumn id="5" xr3:uid="{9840F645-1C06-4520-8138-9555EAA3737E}" name="Upper Confidence Bound (ACTUAL DEMAND)" dataDxfId="0">
      <calculatedColumnFormula>C2+_xlfn.FORECAST.ETS.CONFINT(A2,$B$2:$B$37,$A$2:$A$37,0.95,1,1)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2965-EBEE-45E3-B222-CFF18E9D0A5F}">
  <dimension ref="A1:K61"/>
  <sheetViews>
    <sheetView showGridLines="0" zoomScale="66" zoomScaleNormal="66" workbookViewId="0">
      <pane ySplit="1" topLeftCell="A23" activePane="bottomLeft" state="frozen"/>
      <selection pane="bottomLeft" activeCell="T69" sqref="T69"/>
    </sheetView>
  </sheetViews>
  <sheetFormatPr defaultRowHeight="14.4" x14ac:dyDescent="0.3"/>
  <cols>
    <col min="1" max="1" width="9.5546875" customWidth="1"/>
    <col min="2" max="2" width="17.88671875" customWidth="1"/>
    <col min="3" max="3" width="26.21875" customWidth="1"/>
    <col min="4" max="4" width="43.44140625" bestFit="1" customWidth="1"/>
    <col min="5" max="5" width="43.33203125" bestFit="1" customWidth="1"/>
    <col min="7" max="7" width="3.109375" customWidth="1"/>
    <col min="8" max="8" width="40.88671875" bestFit="1" customWidth="1"/>
    <col min="9" max="9" width="15.33203125" customWidth="1"/>
    <col min="10" max="10" width="3.109375" customWidth="1"/>
    <col min="11" max="11" width="11.5546875" bestFit="1" customWidth="1"/>
  </cols>
  <sheetData>
    <row r="1" spans="1:5" x14ac:dyDescent="0.3">
      <c r="A1" t="s">
        <v>0</v>
      </c>
      <c r="B1" t="s">
        <v>1</v>
      </c>
      <c r="C1" t="s">
        <v>15</v>
      </c>
      <c r="D1" t="s">
        <v>13</v>
      </c>
      <c r="E1" t="s">
        <v>14</v>
      </c>
    </row>
    <row r="2" spans="1:5" x14ac:dyDescent="0.3">
      <c r="A2" s="2">
        <v>44562</v>
      </c>
      <c r="B2">
        <v>831</v>
      </c>
    </row>
    <row r="3" spans="1:5" x14ac:dyDescent="0.3">
      <c r="A3" s="2">
        <v>44593</v>
      </c>
      <c r="B3">
        <v>743</v>
      </c>
    </row>
    <row r="4" spans="1:5" x14ac:dyDescent="0.3">
      <c r="A4" s="2">
        <v>44621</v>
      </c>
      <c r="B4">
        <v>860</v>
      </c>
    </row>
    <row r="5" spans="1:5" x14ac:dyDescent="0.3">
      <c r="A5" s="2">
        <v>44652</v>
      </c>
      <c r="B5">
        <v>895</v>
      </c>
    </row>
    <row r="6" spans="1:5" x14ac:dyDescent="0.3">
      <c r="A6" s="2">
        <v>44682</v>
      </c>
      <c r="B6">
        <v>993</v>
      </c>
    </row>
    <row r="7" spans="1:5" x14ac:dyDescent="0.3">
      <c r="A7" s="2">
        <v>44713</v>
      </c>
      <c r="B7">
        <v>1018</v>
      </c>
    </row>
    <row r="8" spans="1:5" x14ac:dyDescent="0.3">
      <c r="A8" s="2">
        <v>44743</v>
      </c>
      <c r="B8">
        <v>1091</v>
      </c>
    </row>
    <row r="9" spans="1:5" x14ac:dyDescent="0.3">
      <c r="A9" s="2">
        <v>44774</v>
      </c>
      <c r="B9">
        <v>1035</v>
      </c>
    </row>
    <row r="10" spans="1:5" x14ac:dyDescent="0.3">
      <c r="A10" s="2">
        <v>44805</v>
      </c>
      <c r="B10">
        <v>1052</v>
      </c>
    </row>
    <row r="11" spans="1:5" x14ac:dyDescent="0.3">
      <c r="A11" s="2">
        <v>44835</v>
      </c>
      <c r="B11">
        <v>1067</v>
      </c>
    </row>
    <row r="12" spans="1:5" x14ac:dyDescent="0.3">
      <c r="A12" s="2">
        <v>44866</v>
      </c>
      <c r="B12">
        <v>1147</v>
      </c>
    </row>
    <row r="13" spans="1:5" x14ac:dyDescent="0.3">
      <c r="A13" s="2">
        <v>44896</v>
      </c>
      <c r="B13">
        <v>1241</v>
      </c>
    </row>
    <row r="14" spans="1:5" x14ac:dyDescent="0.3">
      <c r="A14" s="2">
        <v>44927</v>
      </c>
      <c r="B14">
        <v>844</v>
      </c>
    </row>
    <row r="15" spans="1:5" x14ac:dyDescent="0.3">
      <c r="A15" s="2">
        <v>44958</v>
      </c>
      <c r="B15">
        <v>817</v>
      </c>
    </row>
    <row r="16" spans="1:5" x14ac:dyDescent="0.3">
      <c r="A16" s="2">
        <v>44986</v>
      </c>
      <c r="B16">
        <v>965</v>
      </c>
    </row>
    <row r="17" spans="1:10" x14ac:dyDescent="0.3">
      <c r="A17" s="2">
        <v>45017</v>
      </c>
      <c r="B17">
        <v>998</v>
      </c>
    </row>
    <row r="18" spans="1:10" x14ac:dyDescent="0.3">
      <c r="A18" s="2">
        <v>45047</v>
      </c>
      <c r="B18">
        <v>1018</v>
      </c>
    </row>
    <row r="19" spans="1:10" x14ac:dyDescent="0.3">
      <c r="A19" s="2">
        <v>45078</v>
      </c>
      <c r="B19">
        <v>1090</v>
      </c>
    </row>
    <row r="20" spans="1:10" x14ac:dyDescent="0.3">
      <c r="A20" s="2">
        <v>45108</v>
      </c>
      <c r="B20">
        <v>1169</v>
      </c>
    </row>
    <row r="21" spans="1:10" x14ac:dyDescent="0.3">
      <c r="A21" s="2">
        <v>45139</v>
      </c>
      <c r="B21">
        <v>1109</v>
      </c>
    </row>
    <row r="22" spans="1:10" x14ac:dyDescent="0.3">
      <c r="A22" s="2">
        <v>45170</v>
      </c>
      <c r="B22">
        <v>1180</v>
      </c>
    </row>
    <row r="23" spans="1:10" ht="15" thickBot="1" x14ac:dyDescent="0.35">
      <c r="A23" s="2">
        <v>45200</v>
      </c>
      <c r="B23">
        <v>1234</v>
      </c>
      <c r="G23" s="14"/>
      <c r="H23" s="14"/>
      <c r="I23" s="14"/>
      <c r="J23" s="14"/>
    </row>
    <row r="24" spans="1:10" ht="15" thickTop="1" x14ac:dyDescent="0.3">
      <c r="A24" s="2">
        <v>45231</v>
      </c>
      <c r="B24">
        <v>1254</v>
      </c>
      <c r="F24" s="20"/>
      <c r="G24" s="13"/>
      <c r="H24" s="13"/>
      <c r="I24" s="13"/>
      <c r="J24" s="15"/>
    </row>
    <row r="25" spans="1:10" x14ac:dyDescent="0.3">
      <c r="A25" s="2">
        <v>45261</v>
      </c>
      <c r="B25">
        <v>1293</v>
      </c>
      <c r="F25" s="20"/>
      <c r="G25" s="13"/>
      <c r="H25" s="21" t="s">
        <v>11</v>
      </c>
      <c r="I25" s="12">
        <v>46266</v>
      </c>
      <c r="J25" s="16"/>
    </row>
    <row r="26" spans="1:10" x14ac:dyDescent="0.3">
      <c r="A26" s="2">
        <v>45292</v>
      </c>
      <c r="B26">
        <v>1000</v>
      </c>
      <c r="F26" s="20"/>
      <c r="G26" s="13"/>
      <c r="H26" s="21" t="s">
        <v>15</v>
      </c>
      <c r="I26" s="23">
        <f>INDEX(Table1[#All], MATCH($I$25, $A$1:$A$61, 0), MATCH(H26, Table1[#Headers], 0))</f>
        <v>1465.65404520636</v>
      </c>
      <c r="J26" s="16"/>
    </row>
    <row r="27" spans="1:10" x14ac:dyDescent="0.3">
      <c r="A27" s="2">
        <v>45323</v>
      </c>
      <c r="B27">
        <v>895</v>
      </c>
      <c r="F27" s="20"/>
      <c r="G27" s="13"/>
      <c r="H27" s="22" t="s">
        <v>13</v>
      </c>
      <c r="I27" s="23">
        <f>INDEX(Table1[#All], MATCH($I$25, $A$1:$A$61, 0), MATCH(H27, Table1[#Headers], 0))</f>
        <v>1342.7570487843664</v>
      </c>
      <c r="J27" s="16"/>
    </row>
    <row r="28" spans="1:10" x14ac:dyDescent="0.3">
      <c r="A28" s="2">
        <v>45352</v>
      </c>
      <c r="B28">
        <v>985</v>
      </c>
      <c r="F28" s="20"/>
      <c r="G28" s="13"/>
      <c r="H28" s="22" t="s">
        <v>14</v>
      </c>
      <c r="I28" s="23">
        <f>INDEX(Table1[#All], MATCH($I$25, $A$1:$A$61, 0), MATCH(H28, Table1[#Headers], 0))</f>
        <v>1588.5510416283537</v>
      </c>
      <c r="J28" s="16"/>
    </row>
    <row r="29" spans="1:10" ht="15" thickBot="1" x14ac:dyDescent="0.35">
      <c r="A29" s="2">
        <v>45383</v>
      </c>
      <c r="B29">
        <v>1030</v>
      </c>
      <c r="F29" s="20"/>
      <c r="G29" s="17"/>
      <c r="H29" s="18"/>
      <c r="I29" s="18"/>
      <c r="J29" s="19"/>
    </row>
    <row r="30" spans="1:10" ht="15" thickTop="1" x14ac:dyDescent="0.3">
      <c r="A30" s="2">
        <v>45413</v>
      </c>
      <c r="B30">
        <v>1171</v>
      </c>
      <c r="G30" s="2"/>
    </row>
    <row r="31" spans="1:10" x14ac:dyDescent="0.3">
      <c r="A31" s="2">
        <v>45444</v>
      </c>
      <c r="B31">
        <v>1178</v>
      </c>
      <c r="G31" s="2"/>
    </row>
    <row r="32" spans="1:10" x14ac:dyDescent="0.3">
      <c r="A32" s="2">
        <v>45474</v>
      </c>
      <c r="B32">
        <v>1262</v>
      </c>
      <c r="G32" s="2"/>
    </row>
    <row r="33" spans="1:11" x14ac:dyDescent="0.3">
      <c r="A33" s="2">
        <v>45505</v>
      </c>
      <c r="B33">
        <v>1289</v>
      </c>
      <c r="G33" s="2"/>
    </row>
    <row r="34" spans="1:11" x14ac:dyDescent="0.3">
      <c r="A34" s="2">
        <v>45536</v>
      </c>
      <c r="B34">
        <v>1241</v>
      </c>
      <c r="G34" s="2"/>
    </row>
    <row r="35" spans="1:11" x14ac:dyDescent="0.3">
      <c r="A35" s="2">
        <v>45566</v>
      </c>
      <c r="B35">
        <v>1368</v>
      </c>
      <c r="G35" s="2"/>
    </row>
    <row r="36" spans="1:11" x14ac:dyDescent="0.3">
      <c r="A36" s="2">
        <v>45597</v>
      </c>
      <c r="B36">
        <v>1360</v>
      </c>
      <c r="G36" s="2"/>
    </row>
    <row r="37" spans="1:11" x14ac:dyDescent="0.3">
      <c r="A37" s="2">
        <v>45627</v>
      </c>
      <c r="B37">
        <v>1454</v>
      </c>
      <c r="C37">
        <v>1454</v>
      </c>
      <c r="D37" s="1">
        <v>1454</v>
      </c>
      <c r="E37" s="1">
        <v>1454</v>
      </c>
      <c r="G37" s="2"/>
      <c r="H37" s="1"/>
      <c r="I37" s="1"/>
      <c r="J37" s="1"/>
      <c r="K37" s="1"/>
    </row>
    <row r="38" spans="1:11" x14ac:dyDescent="0.3">
      <c r="A38" s="2">
        <v>45658</v>
      </c>
      <c r="C38" s="1">
        <f t="shared" ref="C38:C61" si="0">_xlfn.FORECAST.ETS(A38,$B$2:$B$37,$A$2:$A$37,1,1)</f>
        <v>1081.7105565159127</v>
      </c>
      <c r="D38" s="1">
        <f t="shared" ref="D38:D61" si="1">C38-_xlfn.FORECAST.ETS.CONFINT(A38,$B$2:$B$37,$A$2:$A$37,0.95,1,1)</f>
        <v>1004.9345651095788</v>
      </c>
      <c r="E38" s="1">
        <f t="shared" ref="E38:E61" si="2">C38+_xlfn.FORECAST.ETS.CONFINT(A38,$B$2:$B$37,$A$2:$A$37,0.95,1,1)</f>
        <v>1158.4865479222467</v>
      </c>
      <c r="G38" s="2"/>
      <c r="H38" s="1"/>
      <c r="I38" s="1"/>
      <c r="J38" s="1"/>
      <c r="K38" s="1"/>
    </row>
    <row r="39" spans="1:11" x14ac:dyDescent="0.3">
      <c r="A39" s="2">
        <v>45689</v>
      </c>
      <c r="C39" s="1">
        <f t="shared" si="0"/>
        <v>1022.3109285326557</v>
      </c>
      <c r="D39" s="1">
        <f t="shared" si="1"/>
        <v>943.13466604812118</v>
      </c>
      <c r="E39" s="1">
        <f t="shared" si="2"/>
        <v>1101.4871910171901</v>
      </c>
      <c r="G39" s="2"/>
      <c r="H39" s="1"/>
      <c r="I39" s="1"/>
      <c r="J39" s="1"/>
      <c r="K39" s="1"/>
    </row>
    <row r="40" spans="1:11" x14ac:dyDescent="0.3">
      <c r="A40" s="2">
        <v>45717</v>
      </c>
      <c r="C40" s="1">
        <f t="shared" si="0"/>
        <v>1154.450480450864</v>
      </c>
      <c r="D40" s="1">
        <f t="shared" si="1"/>
        <v>1072.9263430754411</v>
      </c>
      <c r="E40" s="1">
        <f t="shared" si="2"/>
        <v>1235.9746178262869</v>
      </c>
      <c r="G40" s="2"/>
      <c r="H40" s="1"/>
      <c r="I40" s="1"/>
      <c r="J40" s="1"/>
      <c r="K40" s="1"/>
    </row>
    <row r="41" spans="1:11" x14ac:dyDescent="0.3">
      <c r="A41" s="2">
        <v>45748</v>
      </c>
      <c r="C41" s="1">
        <f t="shared" si="0"/>
        <v>1195.3552711598741</v>
      </c>
      <c r="D41" s="1">
        <f t="shared" si="1"/>
        <v>1111.5311818603655</v>
      </c>
      <c r="E41" s="1">
        <f t="shared" si="2"/>
        <v>1279.1793604593827</v>
      </c>
      <c r="G41" s="2"/>
      <c r="H41" s="1"/>
      <c r="I41" s="1"/>
      <c r="J41" s="1"/>
      <c r="K41" s="1"/>
    </row>
    <row r="42" spans="1:11" x14ac:dyDescent="0.3">
      <c r="A42" s="2">
        <v>45778</v>
      </c>
      <c r="C42" s="1">
        <f t="shared" si="0"/>
        <v>1260.2467429562487</v>
      </c>
      <c r="D42" s="1">
        <f t="shared" si="1"/>
        <v>1174.1667148058057</v>
      </c>
      <c r="E42" s="1">
        <f t="shared" si="2"/>
        <v>1346.3267711066917</v>
      </c>
      <c r="G42" s="2"/>
      <c r="H42" s="1"/>
      <c r="I42" s="1"/>
      <c r="J42" s="1"/>
      <c r="K42" s="1"/>
    </row>
    <row r="43" spans="1:11" x14ac:dyDescent="0.3">
      <c r="A43" s="2">
        <v>45809</v>
      </c>
      <c r="C43" s="1">
        <f t="shared" si="0"/>
        <v>1308.3537705934423</v>
      </c>
      <c r="D43" s="1">
        <f t="shared" si="1"/>
        <v>1220.0583762493445</v>
      </c>
      <c r="E43" s="1">
        <f t="shared" si="2"/>
        <v>1396.64916493754</v>
      </c>
      <c r="G43" s="2"/>
      <c r="I43" s="30"/>
    </row>
    <row r="44" spans="1:11" x14ac:dyDescent="0.3">
      <c r="A44" s="2">
        <v>45839</v>
      </c>
      <c r="C44" s="1">
        <f t="shared" si="0"/>
        <v>1387.5454159080552</v>
      </c>
      <c r="D44" s="1">
        <f t="shared" si="1"/>
        <v>1297.0721823856825</v>
      </c>
      <c r="E44" s="1">
        <f t="shared" si="2"/>
        <v>1478.018649430428</v>
      </c>
      <c r="G44" s="2"/>
    </row>
    <row r="45" spans="1:11" x14ac:dyDescent="0.3">
      <c r="A45" s="2">
        <v>45870</v>
      </c>
      <c r="C45" s="1">
        <f t="shared" si="0"/>
        <v>1351.545134272809</v>
      </c>
      <c r="D45" s="1">
        <f t="shared" si="1"/>
        <v>1258.9288775986761</v>
      </c>
      <c r="E45" s="1">
        <f t="shared" si="2"/>
        <v>1444.161390946942</v>
      </c>
      <c r="G45" s="2"/>
    </row>
    <row r="46" spans="1:11" x14ac:dyDescent="0.3">
      <c r="A46" s="2">
        <v>45901</v>
      </c>
      <c r="C46" s="1">
        <f t="shared" si="0"/>
        <v>1369.8685445035408</v>
      </c>
      <c r="D46" s="1">
        <f t="shared" si="1"/>
        <v>1275.1416554989357</v>
      </c>
      <c r="E46" s="1">
        <f t="shared" si="2"/>
        <v>1464.5954335081458</v>
      </c>
      <c r="G46" s="2"/>
    </row>
    <row r="47" spans="1:11" x14ac:dyDescent="0.3">
      <c r="A47" s="2">
        <v>45931</v>
      </c>
      <c r="C47" s="1">
        <f t="shared" si="0"/>
        <v>1431.0617170729379</v>
      </c>
      <c r="D47" s="1">
        <f t="shared" si="1"/>
        <v>1334.2544070515085</v>
      </c>
      <c r="E47" s="1">
        <f t="shared" si="2"/>
        <v>1527.8690270943673</v>
      </c>
      <c r="G47" s="2"/>
    </row>
    <row r="48" spans="1:11" x14ac:dyDescent="0.3">
      <c r="A48" s="2">
        <v>45962</v>
      </c>
      <c r="C48" s="1">
        <f t="shared" si="0"/>
        <v>1460.3025670980549</v>
      </c>
      <c r="D48" s="1">
        <f t="shared" si="1"/>
        <v>1361.4430804075116</v>
      </c>
      <c r="E48" s="1">
        <f t="shared" si="2"/>
        <v>1559.1620537885981</v>
      </c>
      <c r="G48" s="2"/>
    </row>
    <row r="49" spans="1:7" x14ac:dyDescent="0.3">
      <c r="A49" s="2">
        <v>45992</v>
      </c>
      <c r="C49" s="1">
        <f t="shared" si="0"/>
        <v>1545.7301886412727</v>
      </c>
      <c r="D49" s="1">
        <f t="shared" si="1"/>
        <v>1444.8449875709762</v>
      </c>
      <c r="E49" s="1">
        <f t="shared" si="2"/>
        <v>1646.6153897115692</v>
      </c>
      <c r="G49" s="2"/>
    </row>
    <row r="50" spans="1:7" x14ac:dyDescent="0.3">
      <c r="A50" s="2">
        <v>46023</v>
      </c>
      <c r="C50" s="1">
        <f t="shared" si="0"/>
        <v>1177.4960572187319</v>
      </c>
      <c r="D50" s="1">
        <f t="shared" si="1"/>
        <v>1069.1951459775664</v>
      </c>
      <c r="E50" s="1">
        <f t="shared" si="2"/>
        <v>1285.7969684598975</v>
      </c>
    </row>
    <row r="51" spans="1:7" x14ac:dyDescent="0.3">
      <c r="A51" s="2">
        <v>46054</v>
      </c>
      <c r="C51" s="1">
        <f t="shared" si="0"/>
        <v>1118.0964292354749</v>
      </c>
      <c r="D51" s="1">
        <f t="shared" si="1"/>
        <v>1007.9151507370466</v>
      </c>
      <c r="E51" s="1">
        <f t="shared" si="2"/>
        <v>1228.2777077339033</v>
      </c>
    </row>
    <row r="52" spans="1:7" x14ac:dyDescent="0.3">
      <c r="A52" s="2">
        <v>46082</v>
      </c>
      <c r="C52" s="1">
        <f t="shared" si="0"/>
        <v>1250.2359811536833</v>
      </c>
      <c r="D52" s="1">
        <f t="shared" si="1"/>
        <v>1138.1919759330081</v>
      </c>
      <c r="E52" s="1">
        <f t="shared" si="2"/>
        <v>1362.2799863743585</v>
      </c>
    </row>
    <row r="53" spans="1:7" x14ac:dyDescent="0.3">
      <c r="A53" s="2">
        <v>46113</v>
      </c>
      <c r="C53" s="1">
        <f t="shared" si="0"/>
        <v>1291.1407718626933</v>
      </c>
      <c r="D53" s="1">
        <f t="shared" si="1"/>
        <v>1177.2507631358521</v>
      </c>
      <c r="E53" s="1">
        <f t="shared" si="2"/>
        <v>1405.0307805895345</v>
      </c>
    </row>
    <row r="54" spans="1:7" x14ac:dyDescent="0.3">
      <c r="A54" s="2">
        <v>46143</v>
      </c>
      <c r="C54" s="1">
        <f t="shared" si="0"/>
        <v>1356.0322436590679</v>
      </c>
      <c r="D54" s="1">
        <f t="shared" si="1"/>
        <v>1240.3121033792461</v>
      </c>
      <c r="E54" s="1">
        <f t="shared" si="2"/>
        <v>1471.7523839388898</v>
      </c>
    </row>
    <row r="55" spans="1:7" x14ac:dyDescent="0.3">
      <c r="A55" s="2">
        <v>46174</v>
      </c>
      <c r="C55" s="1">
        <f t="shared" si="0"/>
        <v>1404.1392712962615</v>
      </c>
      <c r="D55" s="1">
        <f t="shared" si="1"/>
        <v>1286.6040798396532</v>
      </c>
      <c r="E55" s="1">
        <f t="shared" si="2"/>
        <v>1521.6744627528699</v>
      </c>
    </row>
    <row r="56" spans="1:7" x14ac:dyDescent="0.3">
      <c r="A56" s="2">
        <v>46204</v>
      </c>
      <c r="C56" s="1">
        <f t="shared" si="0"/>
        <v>1483.3309166108745</v>
      </c>
      <c r="D56" s="1">
        <f t="shared" si="1"/>
        <v>1363.9950168573412</v>
      </c>
      <c r="E56" s="1">
        <f t="shared" si="2"/>
        <v>1602.6668163644079</v>
      </c>
    </row>
    <row r="57" spans="1:7" x14ac:dyDescent="0.3">
      <c r="A57" s="2">
        <v>46235</v>
      </c>
      <c r="C57" s="1">
        <f t="shared" si="0"/>
        <v>1447.3306349756283</v>
      </c>
      <c r="D57" s="1">
        <f t="shared" si="1"/>
        <v>1326.2076814398977</v>
      </c>
      <c r="E57" s="1">
        <f t="shared" si="2"/>
        <v>1568.4535885113589</v>
      </c>
    </row>
    <row r="58" spans="1:7" x14ac:dyDescent="0.3">
      <c r="A58" s="2">
        <v>46266</v>
      </c>
      <c r="C58" s="1">
        <f t="shared" si="0"/>
        <v>1465.65404520636</v>
      </c>
      <c r="D58" s="1">
        <f t="shared" si="1"/>
        <v>1342.7570487843664</v>
      </c>
      <c r="E58" s="1">
        <f t="shared" si="2"/>
        <v>1588.5510416283537</v>
      </c>
    </row>
    <row r="59" spans="1:7" x14ac:dyDescent="0.3">
      <c r="A59" s="2">
        <v>46296</v>
      </c>
      <c r="C59" s="1">
        <f t="shared" si="0"/>
        <v>1526.8472177757574</v>
      </c>
      <c r="D59" s="1">
        <f t="shared" si="1"/>
        <v>1402.1885865941288</v>
      </c>
      <c r="E59" s="1">
        <f t="shared" si="2"/>
        <v>1651.505848957386</v>
      </c>
    </row>
    <row r="60" spans="1:7" x14ac:dyDescent="0.3">
      <c r="A60" s="2">
        <v>46327</v>
      </c>
      <c r="C60" s="1">
        <f t="shared" si="0"/>
        <v>1556.0880678008743</v>
      </c>
      <c r="D60" s="1">
        <f t="shared" si="1"/>
        <v>1429.6796445929494</v>
      </c>
      <c r="E60" s="1">
        <f t="shared" si="2"/>
        <v>1682.4964910087992</v>
      </c>
    </row>
    <row r="61" spans="1:7" x14ac:dyDescent="0.3">
      <c r="A61" s="2">
        <v>46357</v>
      </c>
      <c r="C61" s="1">
        <f t="shared" si="0"/>
        <v>1641.5156893440922</v>
      </c>
      <c r="D61" s="1">
        <f t="shared" si="1"/>
        <v>1513.3687857210907</v>
      </c>
      <c r="E61" s="1">
        <f t="shared" si="2"/>
        <v>1769.6625929670936</v>
      </c>
    </row>
  </sheetData>
  <dataValidations count="1">
    <dataValidation type="list" allowBlank="1" showInputMessage="1" showErrorMessage="1" sqref="I25" xr:uid="{830C9167-13BA-4CE9-9A74-21C9DF48CDA3}">
      <formula1>$A$38:$A$61</formula1>
    </dataValidation>
  </dataValidations>
  <pageMargins left="0.7" right="0.7" top="0.75" bottom="0.75" header="0.3" footer="0.3"/>
  <ignoredErrors>
    <ignoredError sqref="C37:E37" calculatedColumn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7F04-C9BB-4756-AFF3-BFC1EF08F143}">
  <dimension ref="A1:M39"/>
  <sheetViews>
    <sheetView tabSelected="1" zoomScale="72" zoomScaleNormal="72" workbookViewId="0">
      <selection activeCell="S52" sqref="S52"/>
    </sheetView>
  </sheetViews>
  <sheetFormatPr defaultRowHeight="14.4" x14ac:dyDescent="0.3"/>
  <cols>
    <col min="1" max="1" width="8.88671875" style="1"/>
    <col min="2" max="2" width="15.6640625" bestFit="1" customWidth="1"/>
    <col min="3" max="3" width="22.33203125" bestFit="1" customWidth="1"/>
    <col min="4" max="4" width="22.33203125" customWidth="1"/>
    <col min="5" max="5" width="22.33203125" bestFit="1" customWidth="1"/>
    <col min="6" max="6" width="21.6640625" bestFit="1" customWidth="1"/>
    <col min="7" max="7" width="17.88671875" bestFit="1" customWidth="1"/>
    <col min="9" max="9" width="9.6640625" bestFit="1" customWidth="1"/>
    <col min="10" max="10" width="12" bestFit="1" customWidth="1"/>
    <col min="11" max="11" width="11.88671875" bestFit="1" customWidth="1"/>
    <col min="12" max="12" width="13.33203125" bestFit="1" customWidth="1"/>
    <col min="13" max="13" width="14" bestFit="1" customWidth="1"/>
    <col min="14" max="14" width="16.77734375" bestFit="1" customWidth="1"/>
  </cols>
  <sheetData>
    <row r="1" spans="1:13" x14ac:dyDescent="0.3">
      <c r="A1" s="28" t="s">
        <v>12</v>
      </c>
      <c r="B1" s="28"/>
      <c r="I1" s="28" t="s">
        <v>6</v>
      </c>
      <c r="J1" s="28"/>
      <c r="K1" s="28"/>
      <c r="L1" s="28"/>
      <c r="M1" s="28"/>
    </row>
    <row r="2" spans="1:13" ht="15.6" x14ac:dyDescent="0.3">
      <c r="A2" s="28"/>
      <c r="B2" s="28"/>
      <c r="D2" s="29" t="s">
        <v>17</v>
      </c>
      <c r="E2" s="29"/>
      <c r="F2" s="29"/>
      <c r="G2" s="29"/>
      <c r="I2" s="28"/>
      <c r="J2" s="28"/>
      <c r="K2" s="28"/>
      <c r="L2" s="28"/>
      <c r="M2" s="28"/>
    </row>
    <row r="3" spans="1:13" x14ac:dyDescent="0.3">
      <c r="A3" s="6" t="s">
        <v>0</v>
      </c>
      <c r="B3" s="9" t="s">
        <v>1</v>
      </c>
      <c r="D3" s="27" t="s">
        <v>0</v>
      </c>
      <c r="E3" s="6" t="s">
        <v>3</v>
      </c>
      <c r="F3" s="6" t="s">
        <v>4</v>
      </c>
      <c r="G3" s="6" t="s">
        <v>5</v>
      </c>
      <c r="I3" s="6" t="s">
        <v>0</v>
      </c>
      <c r="J3" s="6" t="s">
        <v>7</v>
      </c>
      <c r="K3" s="6" t="s">
        <v>8</v>
      </c>
      <c r="L3" s="6" t="s">
        <v>9</v>
      </c>
      <c r="M3" s="6" t="s">
        <v>10</v>
      </c>
    </row>
    <row r="4" spans="1:13" x14ac:dyDescent="0.3">
      <c r="A4" s="8">
        <v>44562</v>
      </c>
      <c r="B4" s="7">
        <v>831</v>
      </c>
      <c r="D4" s="3" t="s">
        <v>18</v>
      </c>
      <c r="E4" s="26">
        <f t="shared" ref="E4:E15" si="0">AVERAGE(B4:B4)</f>
        <v>831</v>
      </c>
      <c r="F4" s="10">
        <f t="shared" ref="F4:F15" si="1">AVERAGE($B$4:$B$15)</f>
        <v>997.75</v>
      </c>
      <c r="G4" s="11">
        <f>E4/F4</f>
        <v>0.83287396642445499</v>
      </c>
      <c r="I4" s="5">
        <v>45658</v>
      </c>
      <c r="J4" s="4">
        <f t="shared" ref="J4:J15" si="2">_xlfn.FORECAST.ETS(I4,$B$4:$B$39,$A$4:$A$39)</f>
        <v>1081.7105565159127</v>
      </c>
      <c r="K4" s="4">
        <f t="shared" ref="K4:K15" si="3">_xlfn.FORECAST.ETS.CONFINT(I4,$B$4:$B$39,$A$4:$A$39,95%)</f>
        <v>76.775991406333915</v>
      </c>
      <c r="L4" s="4">
        <f>J4+K4</f>
        <v>1158.4865479222467</v>
      </c>
      <c r="M4" s="4">
        <f>J4-K4</f>
        <v>1004.9345651095788</v>
      </c>
    </row>
    <row r="5" spans="1:13" x14ac:dyDescent="0.3">
      <c r="A5" s="8">
        <v>44593</v>
      </c>
      <c r="B5" s="7">
        <v>743</v>
      </c>
      <c r="D5" s="3" t="s">
        <v>19</v>
      </c>
      <c r="E5" s="26">
        <f t="shared" si="0"/>
        <v>743</v>
      </c>
      <c r="F5" s="10">
        <f t="shared" si="1"/>
        <v>997.75</v>
      </c>
      <c r="G5" s="11">
        <f t="shared" ref="G5:G15" si="4">E5/F5</f>
        <v>0.74467551991981962</v>
      </c>
      <c r="I5" s="5">
        <v>45689</v>
      </c>
      <c r="J5" s="4">
        <f t="shared" si="2"/>
        <v>1022.3109285326557</v>
      </c>
      <c r="K5" s="4">
        <f t="shared" si="3"/>
        <v>79.176262484534476</v>
      </c>
      <c r="L5" s="4">
        <f t="shared" ref="L5:L15" si="5">J5+K5</f>
        <v>1101.4871910171901</v>
      </c>
      <c r="M5" s="4">
        <f t="shared" ref="M5:M15" si="6">J5-K5</f>
        <v>943.13466604812118</v>
      </c>
    </row>
    <row r="6" spans="1:13" x14ac:dyDescent="0.3">
      <c r="A6" s="8">
        <v>44621</v>
      </c>
      <c r="B6" s="7">
        <v>860</v>
      </c>
      <c r="D6" s="3" t="s">
        <v>20</v>
      </c>
      <c r="E6" s="26">
        <f t="shared" si="0"/>
        <v>860</v>
      </c>
      <c r="F6" s="10">
        <f t="shared" si="1"/>
        <v>997.75</v>
      </c>
      <c r="G6" s="11">
        <f t="shared" si="4"/>
        <v>0.86193936356802803</v>
      </c>
      <c r="I6" s="5">
        <v>45717</v>
      </c>
      <c r="J6" s="4">
        <f t="shared" si="2"/>
        <v>1154.450480450864</v>
      </c>
      <c r="K6" s="4">
        <f t="shared" si="3"/>
        <v>81.524137375422995</v>
      </c>
      <c r="L6" s="4">
        <f t="shared" si="5"/>
        <v>1235.9746178262869</v>
      </c>
      <c r="M6" s="4">
        <f t="shared" si="6"/>
        <v>1072.9263430754411</v>
      </c>
    </row>
    <row r="7" spans="1:13" x14ac:dyDescent="0.3">
      <c r="A7" s="8">
        <v>44652</v>
      </c>
      <c r="B7" s="7">
        <v>895</v>
      </c>
      <c r="D7" s="3" t="s">
        <v>21</v>
      </c>
      <c r="E7" s="26">
        <f t="shared" si="0"/>
        <v>895</v>
      </c>
      <c r="F7" s="10">
        <f t="shared" si="1"/>
        <v>997.75</v>
      </c>
      <c r="G7" s="11">
        <f t="shared" si="4"/>
        <v>0.89701829115509901</v>
      </c>
      <c r="I7" s="5">
        <v>45748</v>
      </c>
      <c r="J7" s="4">
        <f t="shared" si="2"/>
        <v>1195.3552711598741</v>
      </c>
      <c r="K7" s="4">
        <f t="shared" si="3"/>
        <v>83.824089299508557</v>
      </c>
      <c r="L7" s="4">
        <f t="shared" si="5"/>
        <v>1279.1793604593827</v>
      </c>
      <c r="M7" s="4">
        <f t="shared" si="6"/>
        <v>1111.5311818603655</v>
      </c>
    </row>
    <row r="8" spans="1:13" x14ac:dyDescent="0.3">
      <c r="A8" s="8">
        <v>44682</v>
      </c>
      <c r="B8" s="7">
        <v>993</v>
      </c>
      <c r="D8" s="3" t="s">
        <v>2</v>
      </c>
      <c r="E8" s="26">
        <f t="shared" si="0"/>
        <v>993</v>
      </c>
      <c r="F8" s="10">
        <f t="shared" si="1"/>
        <v>997.75</v>
      </c>
      <c r="G8" s="11">
        <f t="shared" si="4"/>
        <v>0.99523928839889753</v>
      </c>
      <c r="I8" s="5">
        <v>45778</v>
      </c>
      <c r="J8" s="4">
        <f t="shared" si="2"/>
        <v>1260.2467429562487</v>
      </c>
      <c r="K8" s="4">
        <f t="shared" si="3"/>
        <v>86.080028150442942</v>
      </c>
      <c r="L8" s="4">
        <f t="shared" si="5"/>
        <v>1346.3267711066917</v>
      </c>
      <c r="M8" s="4">
        <f t="shared" si="6"/>
        <v>1174.1667148058057</v>
      </c>
    </row>
    <row r="9" spans="1:13" x14ac:dyDescent="0.3">
      <c r="A9" s="8">
        <v>44713</v>
      </c>
      <c r="B9" s="7">
        <v>1018</v>
      </c>
      <c r="D9" s="3" t="s">
        <v>22</v>
      </c>
      <c r="E9" s="26">
        <f t="shared" si="0"/>
        <v>1018</v>
      </c>
      <c r="F9" s="10">
        <f t="shared" si="1"/>
        <v>997.75</v>
      </c>
      <c r="G9" s="11">
        <f t="shared" si="4"/>
        <v>1.0202956652468054</v>
      </c>
      <c r="I9" s="5">
        <v>45809</v>
      </c>
      <c r="J9" s="4">
        <f t="shared" si="2"/>
        <v>1308.3537705934423</v>
      </c>
      <c r="K9" s="4">
        <f t="shared" si="3"/>
        <v>88.295394344097858</v>
      </c>
      <c r="L9" s="4">
        <f t="shared" si="5"/>
        <v>1396.64916493754</v>
      </c>
      <c r="M9" s="4">
        <f t="shared" si="6"/>
        <v>1220.0583762493445</v>
      </c>
    </row>
    <row r="10" spans="1:13" x14ac:dyDescent="0.3">
      <c r="A10" s="8">
        <v>44743</v>
      </c>
      <c r="B10" s="7">
        <v>1091</v>
      </c>
      <c r="D10" s="3" t="s">
        <v>23</v>
      </c>
      <c r="E10" s="26">
        <f t="shared" si="0"/>
        <v>1091</v>
      </c>
      <c r="F10" s="10">
        <f t="shared" si="1"/>
        <v>997.75</v>
      </c>
      <c r="G10" s="11">
        <f t="shared" si="4"/>
        <v>1.093460285642696</v>
      </c>
      <c r="I10" s="5">
        <v>45839</v>
      </c>
      <c r="J10" s="4">
        <f t="shared" si="2"/>
        <v>1387.5454159080552</v>
      </c>
      <c r="K10" s="4">
        <f t="shared" si="3"/>
        <v>90.473233522372752</v>
      </c>
      <c r="L10" s="4">
        <f t="shared" si="5"/>
        <v>1478.018649430428</v>
      </c>
      <c r="M10" s="4">
        <f t="shared" si="6"/>
        <v>1297.0721823856825</v>
      </c>
    </row>
    <row r="11" spans="1:13" x14ac:dyDescent="0.3">
      <c r="A11" s="8">
        <v>44774</v>
      </c>
      <c r="B11" s="7">
        <v>1035</v>
      </c>
      <c r="D11" s="3" t="s">
        <v>24</v>
      </c>
      <c r="E11" s="26">
        <f t="shared" si="0"/>
        <v>1035</v>
      </c>
      <c r="F11" s="10">
        <f t="shared" si="1"/>
        <v>997.75</v>
      </c>
      <c r="G11" s="11">
        <f t="shared" si="4"/>
        <v>1.0373340015033825</v>
      </c>
      <c r="I11" s="5">
        <v>45870</v>
      </c>
      <c r="J11" s="4">
        <f t="shared" si="2"/>
        <v>1351.545134272809</v>
      </c>
      <c r="K11" s="4">
        <f t="shared" si="3"/>
        <v>92.616256674133069</v>
      </c>
      <c r="L11" s="4">
        <f t="shared" si="5"/>
        <v>1444.161390946942</v>
      </c>
      <c r="M11" s="4">
        <f t="shared" si="6"/>
        <v>1258.9288775986761</v>
      </c>
    </row>
    <row r="12" spans="1:13" x14ac:dyDescent="0.3">
      <c r="A12" s="8">
        <v>44805</v>
      </c>
      <c r="B12" s="7">
        <v>1052</v>
      </c>
      <c r="D12" s="3" t="s">
        <v>25</v>
      </c>
      <c r="E12" s="26">
        <f t="shared" si="0"/>
        <v>1052</v>
      </c>
      <c r="F12" s="10">
        <f t="shared" si="1"/>
        <v>997.75</v>
      </c>
      <c r="G12" s="11">
        <f t="shared" si="4"/>
        <v>1.0543723377599599</v>
      </c>
      <c r="I12" s="5">
        <v>45901</v>
      </c>
      <c r="J12" s="4">
        <f t="shared" si="2"/>
        <v>1369.8685445035408</v>
      </c>
      <c r="K12" s="4">
        <f t="shared" si="3"/>
        <v>94.726889004605084</v>
      </c>
      <c r="L12" s="4">
        <f t="shared" si="5"/>
        <v>1464.5954335081458</v>
      </c>
      <c r="M12" s="4">
        <f t="shared" si="6"/>
        <v>1275.1416554989357</v>
      </c>
    </row>
    <row r="13" spans="1:13" x14ac:dyDescent="0.3">
      <c r="A13" s="8">
        <v>44835</v>
      </c>
      <c r="B13" s="7">
        <v>1067</v>
      </c>
      <c r="D13" s="3" t="s">
        <v>26</v>
      </c>
      <c r="E13" s="26">
        <f t="shared" si="0"/>
        <v>1067</v>
      </c>
      <c r="F13" s="10">
        <f t="shared" si="1"/>
        <v>997.75</v>
      </c>
      <c r="G13" s="11">
        <f t="shared" si="4"/>
        <v>1.0694061638687047</v>
      </c>
      <c r="I13" s="5">
        <v>45931</v>
      </c>
      <c r="J13" s="4">
        <f t="shared" si="2"/>
        <v>1431.0617170729379</v>
      </c>
      <c r="K13" s="4">
        <f t="shared" si="3"/>
        <v>96.807310021429359</v>
      </c>
      <c r="L13" s="4">
        <f t="shared" si="5"/>
        <v>1527.8690270943673</v>
      </c>
      <c r="M13" s="4">
        <f t="shared" si="6"/>
        <v>1334.2544070515085</v>
      </c>
    </row>
    <row r="14" spans="1:13" x14ac:dyDescent="0.3">
      <c r="A14" s="8">
        <v>44866</v>
      </c>
      <c r="B14" s="7">
        <v>1147</v>
      </c>
      <c r="D14" s="3" t="s">
        <v>27</v>
      </c>
      <c r="E14" s="26">
        <f t="shared" si="0"/>
        <v>1147</v>
      </c>
      <c r="F14" s="10">
        <f t="shared" si="1"/>
        <v>997.75</v>
      </c>
      <c r="G14" s="11">
        <f t="shared" si="4"/>
        <v>1.1495865697820096</v>
      </c>
      <c r="I14" s="5">
        <v>45962</v>
      </c>
      <c r="J14" s="4">
        <f t="shared" si="2"/>
        <v>1460.3025670980549</v>
      </c>
      <c r="K14" s="4">
        <f t="shared" si="3"/>
        <v>98.859486690543221</v>
      </c>
      <c r="L14" s="4">
        <f t="shared" si="5"/>
        <v>1559.1620537885981</v>
      </c>
      <c r="M14" s="4">
        <f t="shared" si="6"/>
        <v>1361.4430804075116</v>
      </c>
    </row>
    <row r="15" spans="1:13" x14ac:dyDescent="0.3">
      <c r="A15" s="8">
        <v>44896</v>
      </c>
      <c r="B15" s="7">
        <v>1241</v>
      </c>
      <c r="D15" s="3" t="s">
        <v>28</v>
      </c>
      <c r="E15" s="26">
        <f t="shared" si="0"/>
        <v>1241</v>
      </c>
      <c r="F15" s="10">
        <f t="shared" si="1"/>
        <v>997.75</v>
      </c>
      <c r="G15" s="11">
        <f t="shared" si="4"/>
        <v>1.2437985467301429</v>
      </c>
      <c r="I15" s="5">
        <v>45992</v>
      </c>
      <c r="J15" s="4">
        <f t="shared" si="2"/>
        <v>1545.7301886412727</v>
      </c>
      <c r="K15" s="4">
        <f t="shared" si="3"/>
        <v>100.88520107029656</v>
      </c>
      <c r="L15" s="4">
        <f t="shared" si="5"/>
        <v>1646.6153897115692</v>
      </c>
      <c r="M15" s="4">
        <f t="shared" si="6"/>
        <v>1444.8449875709762</v>
      </c>
    </row>
    <row r="16" spans="1:13" x14ac:dyDescent="0.3">
      <c r="A16" s="8">
        <v>44927</v>
      </c>
      <c r="B16" s="7">
        <v>844</v>
      </c>
      <c r="I16" s="24" t="s">
        <v>16</v>
      </c>
      <c r="J16" s="25">
        <f>SUM(J4:J15)</f>
        <v>15568.481317705668</v>
      </c>
      <c r="K16" s="24"/>
      <c r="L16" s="25">
        <f>SUM(L4:L15)</f>
        <v>16638.525597749387</v>
      </c>
      <c r="M16" s="25">
        <f>SUM(M4:M15)</f>
        <v>14498.437037661944</v>
      </c>
    </row>
    <row r="17" spans="1:13" x14ac:dyDescent="0.3">
      <c r="A17" s="8">
        <v>44958</v>
      </c>
      <c r="B17" s="7">
        <v>817</v>
      </c>
      <c r="I17" s="5">
        <v>46023</v>
      </c>
      <c r="J17" s="4">
        <f t="shared" ref="J17:J28" si="7">_xlfn.FORECAST.ETS(I17,$B$4:$B$39,$A$4:$A$39)</f>
        <v>1177.4960572187319</v>
      </c>
      <c r="K17" s="4">
        <f t="shared" ref="K17:K28" si="8">_xlfn.FORECAST.ETS.CONFINT(I17,$B$4:$B$39,$A$4:$A$39,95%)</f>
        <v>108.30091124116544</v>
      </c>
      <c r="L17" s="4">
        <f t="shared" ref="L17:L28" si="9">J17+K17</f>
        <v>1285.7969684598975</v>
      </c>
      <c r="M17" s="4">
        <f t="shared" ref="M17:M28" si="10">J17-K17</f>
        <v>1069.1951459775664</v>
      </c>
    </row>
    <row r="18" spans="1:13" x14ac:dyDescent="0.3">
      <c r="A18" s="8">
        <v>44986</v>
      </c>
      <c r="B18" s="7">
        <v>965</v>
      </c>
      <c r="I18" s="5">
        <v>46054</v>
      </c>
      <c r="J18" s="4">
        <f t="shared" si="7"/>
        <v>1118.0964292354749</v>
      </c>
      <c r="K18" s="4">
        <f t="shared" si="8"/>
        <v>110.18127849842831</v>
      </c>
      <c r="L18" s="4">
        <f t="shared" si="9"/>
        <v>1228.2777077339033</v>
      </c>
      <c r="M18" s="4">
        <f t="shared" si="10"/>
        <v>1007.9151507370466</v>
      </c>
    </row>
    <row r="19" spans="1:13" x14ac:dyDescent="0.3">
      <c r="A19" s="8">
        <v>45017</v>
      </c>
      <c r="B19" s="7">
        <v>998</v>
      </c>
      <c r="I19" s="5">
        <v>46082</v>
      </c>
      <c r="J19" s="4">
        <f t="shared" si="7"/>
        <v>1250.2359811536833</v>
      </c>
      <c r="K19" s="4">
        <f t="shared" si="8"/>
        <v>112.04400522067523</v>
      </c>
      <c r="L19" s="4">
        <f t="shared" si="9"/>
        <v>1362.2799863743585</v>
      </c>
      <c r="M19" s="4">
        <f t="shared" si="10"/>
        <v>1138.1919759330081</v>
      </c>
    </row>
    <row r="20" spans="1:13" x14ac:dyDescent="0.3">
      <c r="A20" s="8">
        <v>45047</v>
      </c>
      <c r="B20" s="7">
        <v>1018</v>
      </c>
      <c r="I20" s="5">
        <v>46113</v>
      </c>
      <c r="J20" s="4">
        <f t="shared" si="7"/>
        <v>1291.1407718626933</v>
      </c>
      <c r="K20" s="4">
        <f t="shared" si="8"/>
        <v>113.8900087268411</v>
      </c>
      <c r="L20" s="4">
        <f t="shared" si="9"/>
        <v>1405.0307805895345</v>
      </c>
      <c r="M20" s="4">
        <f t="shared" si="10"/>
        <v>1177.2507631358521</v>
      </c>
    </row>
    <row r="21" spans="1:13" x14ac:dyDescent="0.3">
      <c r="A21" s="8">
        <v>45078</v>
      </c>
      <c r="B21" s="7">
        <v>1090</v>
      </c>
      <c r="I21" s="5">
        <v>46143</v>
      </c>
      <c r="J21" s="4">
        <f t="shared" si="7"/>
        <v>1356.0322436590679</v>
      </c>
      <c r="K21" s="4">
        <f t="shared" si="8"/>
        <v>115.72014027982189</v>
      </c>
      <c r="L21" s="4">
        <f t="shared" si="9"/>
        <v>1471.7523839388898</v>
      </c>
      <c r="M21" s="4">
        <f t="shared" si="10"/>
        <v>1240.3121033792461</v>
      </c>
    </row>
    <row r="22" spans="1:13" x14ac:dyDescent="0.3">
      <c r="A22" s="8">
        <v>45108</v>
      </c>
      <c r="B22" s="7">
        <v>1169</v>
      </c>
      <c r="I22" s="5">
        <v>46174</v>
      </c>
      <c r="J22" s="4">
        <f t="shared" si="7"/>
        <v>1404.1392712962615</v>
      </c>
      <c r="K22" s="4">
        <f t="shared" si="8"/>
        <v>117.53519145660825</v>
      </c>
      <c r="L22" s="4">
        <f t="shared" si="9"/>
        <v>1521.6744627528699</v>
      </c>
      <c r="M22" s="4">
        <f t="shared" si="10"/>
        <v>1286.6040798396532</v>
      </c>
    </row>
    <row r="23" spans="1:13" x14ac:dyDescent="0.3">
      <c r="A23" s="8">
        <v>45139</v>
      </c>
      <c r="B23" s="7">
        <v>1109</v>
      </c>
      <c r="I23" s="5">
        <v>46204</v>
      </c>
      <c r="J23" s="4">
        <f t="shared" si="7"/>
        <v>1483.3309166108745</v>
      </c>
      <c r="K23" s="4">
        <f t="shared" si="8"/>
        <v>119.33589975353335</v>
      </c>
      <c r="L23" s="4">
        <f t="shared" si="9"/>
        <v>1602.6668163644079</v>
      </c>
      <c r="M23" s="4">
        <f t="shared" si="10"/>
        <v>1363.9950168573412</v>
      </c>
    </row>
    <row r="24" spans="1:13" x14ac:dyDescent="0.3">
      <c r="A24" s="8">
        <v>45170</v>
      </c>
      <c r="B24" s="7">
        <v>1180</v>
      </c>
      <c r="I24" s="5">
        <v>46235</v>
      </c>
      <c r="J24" s="4">
        <f t="shared" si="7"/>
        <v>1447.3306349756283</v>
      </c>
      <c r="K24" s="4">
        <f t="shared" si="8"/>
        <v>121.1229535357307</v>
      </c>
      <c r="L24" s="4">
        <f t="shared" si="9"/>
        <v>1568.4535885113589</v>
      </c>
      <c r="M24" s="4">
        <f t="shared" si="10"/>
        <v>1326.2076814398977</v>
      </c>
    </row>
    <row r="25" spans="1:13" x14ac:dyDescent="0.3">
      <c r="A25" s="8">
        <v>45200</v>
      </c>
      <c r="B25" s="7">
        <v>1234</v>
      </c>
      <c r="I25" s="5">
        <v>46266</v>
      </c>
      <c r="J25" s="4">
        <f t="shared" si="7"/>
        <v>1465.65404520636</v>
      </c>
      <c r="K25" s="4">
        <f t="shared" si="8"/>
        <v>122.89699642199365</v>
      </c>
      <c r="L25" s="4">
        <f t="shared" si="9"/>
        <v>1588.5510416283537</v>
      </c>
      <c r="M25" s="4">
        <f t="shared" si="10"/>
        <v>1342.7570487843664</v>
      </c>
    </row>
    <row r="26" spans="1:13" x14ac:dyDescent="0.3">
      <c r="A26" s="8">
        <v>45231</v>
      </c>
      <c r="B26" s="7">
        <v>1254</v>
      </c>
      <c r="I26" s="5">
        <v>46296</v>
      </c>
      <c r="J26" s="4">
        <f t="shared" si="7"/>
        <v>1526.8472177757574</v>
      </c>
      <c r="K26" s="4">
        <f t="shared" si="8"/>
        <v>124.65863118162858</v>
      </c>
      <c r="L26" s="4">
        <f t="shared" si="9"/>
        <v>1651.505848957386</v>
      </c>
      <c r="M26" s="4">
        <f t="shared" si="10"/>
        <v>1402.1885865941288</v>
      </c>
    </row>
    <row r="27" spans="1:13" x14ac:dyDescent="0.3">
      <c r="A27" s="8">
        <v>45261</v>
      </c>
      <c r="B27" s="7">
        <v>1293</v>
      </c>
      <c r="I27" s="5">
        <v>46327</v>
      </c>
      <c r="J27" s="4">
        <f t="shared" si="7"/>
        <v>1556.0880678008743</v>
      </c>
      <c r="K27" s="4">
        <f t="shared" si="8"/>
        <v>126.40842320792484</v>
      </c>
      <c r="L27" s="4">
        <f t="shared" si="9"/>
        <v>1682.4964910087992</v>
      </c>
      <c r="M27" s="4">
        <f t="shared" si="10"/>
        <v>1429.6796445929494</v>
      </c>
    </row>
    <row r="28" spans="1:13" x14ac:dyDescent="0.3">
      <c r="A28" s="8">
        <v>45292</v>
      </c>
      <c r="B28" s="7">
        <v>1000</v>
      </c>
      <c r="I28" s="5">
        <v>46357</v>
      </c>
      <c r="J28" s="4">
        <f t="shared" si="7"/>
        <v>1641.5156893440922</v>
      </c>
      <c r="K28" s="4">
        <f t="shared" si="8"/>
        <v>128.14690362300146</v>
      </c>
      <c r="L28" s="4">
        <f t="shared" si="9"/>
        <v>1769.6625929670936</v>
      </c>
      <c r="M28" s="4">
        <f t="shared" si="10"/>
        <v>1513.3687857210907</v>
      </c>
    </row>
    <row r="29" spans="1:13" x14ac:dyDescent="0.3">
      <c r="A29" s="8">
        <v>45323</v>
      </c>
      <c r="B29" s="7">
        <v>895</v>
      </c>
      <c r="I29" s="24" t="s">
        <v>16</v>
      </c>
      <c r="J29" s="25">
        <f>SUM(J17:J28)</f>
        <v>16717.907326139499</v>
      </c>
      <c r="K29" s="24"/>
      <c r="L29" s="25">
        <f>SUM(L17:L28)</f>
        <v>18138.148669286849</v>
      </c>
      <c r="M29" s="25">
        <f>SUM(M17:M28)</f>
        <v>15297.665982992145</v>
      </c>
    </row>
    <row r="30" spans="1:13" x14ac:dyDescent="0.3">
      <c r="A30" s="8">
        <v>45352</v>
      </c>
      <c r="B30" s="7">
        <v>985</v>
      </c>
    </row>
    <row r="31" spans="1:13" x14ac:dyDescent="0.3">
      <c r="A31" s="8">
        <v>45383</v>
      </c>
      <c r="B31" s="7">
        <v>1030</v>
      </c>
    </row>
    <row r="32" spans="1:13" x14ac:dyDescent="0.3">
      <c r="A32" s="8">
        <v>45413</v>
      </c>
      <c r="B32" s="7">
        <v>1171</v>
      </c>
    </row>
    <row r="33" spans="1:2" x14ac:dyDescent="0.3">
      <c r="A33" s="8">
        <v>45444</v>
      </c>
      <c r="B33" s="7">
        <v>1178</v>
      </c>
    </row>
    <row r="34" spans="1:2" x14ac:dyDescent="0.3">
      <c r="A34" s="8">
        <v>45474</v>
      </c>
      <c r="B34" s="7">
        <v>1262</v>
      </c>
    </row>
    <row r="35" spans="1:2" x14ac:dyDescent="0.3">
      <c r="A35" s="8">
        <v>45505</v>
      </c>
      <c r="B35" s="7">
        <v>1289</v>
      </c>
    </row>
    <row r="36" spans="1:2" x14ac:dyDescent="0.3">
      <c r="A36" s="8">
        <v>45536</v>
      </c>
      <c r="B36" s="7">
        <v>1241</v>
      </c>
    </row>
    <row r="37" spans="1:2" x14ac:dyDescent="0.3">
      <c r="A37" s="8">
        <v>45566</v>
      </c>
      <c r="B37" s="7">
        <v>1368</v>
      </c>
    </row>
    <row r="38" spans="1:2" x14ac:dyDescent="0.3">
      <c r="A38" s="8">
        <v>45597</v>
      </c>
      <c r="B38" s="7">
        <v>1360</v>
      </c>
    </row>
    <row r="39" spans="1:2" x14ac:dyDescent="0.3">
      <c r="A39" s="8">
        <v>45627</v>
      </c>
      <c r="B39" s="7">
        <v>1454</v>
      </c>
    </row>
  </sheetData>
  <mergeCells count="3">
    <mergeCell ref="I1:M2"/>
    <mergeCell ref="A1:B2"/>
    <mergeCell ref="D2:G2"/>
  </mergeCells>
  <phoneticPr fontId="3" type="noConversion"/>
  <pageMargins left="0.7" right="0.7" top="0.75" bottom="0.75" header="0.3" footer="0.3"/>
  <ignoredErrors>
    <ignoredError sqref="J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 Sheet</vt:lpstr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 Sewani</dc:creator>
  <cp:lastModifiedBy>Yogen Sewani</cp:lastModifiedBy>
  <dcterms:created xsi:type="dcterms:W3CDTF">2026-04-13T10:17:02Z</dcterms:created>
  <dcterms:modified xsi:type="dcterms:W3CDTF">2026-05-21T07:25:04Z</dcterms:modified>
</cp:coreProperties>
</file>