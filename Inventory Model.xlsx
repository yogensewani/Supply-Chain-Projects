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\Documents\Yuva Intern Tasks\"/>
    </mc:Choice>
  </mc:AlternateContent>
  <xr:revisionPtr revIDLastSave="0" documentId="13_ncr:1_{1A7DBC7F-F48A-4663-B3B9-27D42481D8C6}" xr6:coauthVersionLast="47" xr6:coauthVersionMax="47" xr10:uidLastSave="{00000000-0000-0000-0000-000000000000}"/>
  <bookViews>
    <workbookView xWindow="0" yWindow="504" windowWidth="23256" windowHeight="12456" xr2:uid="{4CBEC0AE-8DE8-42F9-9B89-5399B04DEBD1}"/>
  </bookViews>
  <sheets>
    <sheet name="Inventory Model" sheetId="1" r:id="rId1"/>
    <sheet name="Stimulated Deman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L3" i="1"/>
  <c r="L4" i="1"/>
  <c r="J3" i="1"/>
  <c r="K3" i="1" s="1"/>
  <c r="J4" i="1"/>
  <c r="K4" i="1" s="1"/>
  <c r="J5" i="1"/>
  <c r="K5" i="1" s="1"/>
  <c r="L5" i="1" s="1"/>
  <c r="B11" i="1" s="1"/>
  <c r="I3" i="1"/>
  <c r="I4" i="1"/>
  <c r="I5" i="1"/>
  <c r="J2" i="1"/>
  <c r="K2" i="1" s="1"/>
  <c r="L2" i="1" s="1"/>
  <c r="I2" i="1"/>
</calcChain>
</file>

<file path=xl/sharedStrings.xml><?xml version="1.0" encoding="utf-8"?>
<sst xmlns="http://schemas.openxmlformats.org/spreadsheetml/2006/main" count="24" uniqueCount="21">
  <si>
    <t>Item</t>
  </si>
  <si>
    <t>Annual Demand (D)</t>
  </si>
  <si>
    <t>Order Cost (S)</t>
  </si>
  <si>
    <t>Holding Cost (H)</t>
  </si>
  <si>
    <t>Lead Time (L days)</t>
  </si>
  <si>
    <t>Std Dev Demand</t>
  </si>
  <si>
    <t>Service Level (Z)</t>
  </si>
  <si>
    <t>EOQ</t>
  </si>
  <si>
    <t>Safety Stock</t>
  </si>
  <si>
    <t>Reorder Point</t>
  </si>
  <si>
    <t>Product A</t>
  </si>
  <si>
    <t>Product B</t>
  </si>
  <si>
    <t>Product C</t>
  </si>
  <si>
    <t>Product D</t>
  </si>
  <si>
    <t>Status</t>
  </si>
  <si>
    <t>Current Stock</t>
  </si>
  <si>
    <t>Day</t>
  </si>
  <si>
    <t>Demand (units)</t>
  </si>
  <si>
    <t>PRODUCT A</t>
  </si>
  <si>
    <t>ITEM</t>
  </si>
  <si>
    <t>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</si>
</sst>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5"/>
      <color rgb="FF000000"/>
      <name val="Aptos Narrow"/>
      <family val="2"/>
    </font>
    <font>
      <sz val="15"/>
      <color rgb="FF000000"/>
      <name val="Aptos Narrow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Model'!$I$1</c:f>
              <c:strCache>
                <c:ptCount val="1"/>
                <c:pt idx="0">
                  <c:v>EOQ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0-4B07-9AF8-A8ADBF62A12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50-4B07-9AF8-A8ADBF62A12F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0-4B07-9AF8-A8ADBF62A12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50-4B07-9AF8-A8ADBF62A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Model'!$I$2:$I$5</c:f>
              <c:numCache>
                <c:formatCode>0</c:formatCode>
                <c:ptCount val="4"/>
                <c:pt idx="0">
                  <c:v>447.21359549995793</c:v>
                </c:pt>
                <c:pt idx="1">
                  <c:v>460.97722286464438</c:v>
                </c:pt>
                <c:pt idx="2">
                  <c:v>447.21359549995793</c:v>
                </c:pt>
                <c:pt idx="3">
                  <c:v>412.31056256176606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B07-9AF8-A8ADBF62A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8337935"/>
        <c:axId val="1548332175"/>
      </c:barChart>
      <c:catAx>
        <c:axId val="154833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32175"/>
        <c:crosses val="autoZero"/>
        <c:auto val="1"/>
        <c:lblAlgn val="ctr"/>
        <c:lblOffset val="100"/>
        <c:noMultiLvlLbl val="0"/>
      </c:catAx>
      <c:valAx>
        <c:axId val="154833217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3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>
      <a:glow rad="635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latin typeface="Arial Black" panose="020B0A04020102020204" pitchFamily="34" charset="0"/>
              </a:rPr>
              <a:t>Quick</a:t>
            </a:r>
            <a:r>
              <a:rPr lang="en-GB" b="1" baseline="0">
                <a:latin typeface="Arial Black" panose="020B0A04020102020204" pitchFamily="34" charset="0"/>
              </a:rPr>
              <a:t>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009416186389867E-2"/>
          <c:y val="0.17351549934673779"/>
          <c:w val="0.88345715364172894"/>
          <c:h val="0.60682274531110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Model'!$H$1</c:f>
              <c:strCache>
                <c:ptCount val="1"/>
                <c:pt idx="0">
                  <c:v>Current Stock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Model'!$H$2:$H$5</c:f>
              <c:numCache>
                <c:formatCode>General</c:formatCode>
                <c:ptCount val="4"/>
                <c:pt idx="0">
                  <c:v>584</c:v>
                </c:pt>
                <c:pt idx="1">
                  <c:v>230</c:v>
                </c:pt>
                <c:pt idx="2">
                  <c:v>295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0-4092-970A-C4FCC622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308655"/>
        <c:axId val="1548312495"/>
      </c:barChart>
      <c:lineChart>
        <c:grouping val="standard"/>
        <c:varyColors val="0"/>
        <c:ser>
          <c:idx val="1"/>
          <c:order val="1"/>
          <c:tx>
            <c:strRef>
              <c:f>'Inventory Model'!$J$1</c:f>
              <c:strCache>
                <c:ptCount val="1"/>
                <c:pt idx="0">
                  <c:v>Safety Stock</c:v>
                </c:pt>
              </c:strCache>
            </c:strRef>
          </c:tx>
          <c:spPr>
            <a:ln w="19050" cap="rnd" cmpd="sng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Model'!$J$2:$J$5</c:f>
              <c:numCache>
                <c:formatCode>0</c:formatCode>
                <c:ptCount val="4"/>
                <c:pt idx="0">
                  <c:v>73.79024325749306</c:v>
                </c:pt>
                <c:pt idx="1">
                  <c:v>101.04145188980608</c:v>
                </c:pt>
                <c:pt idx="2">
                  <c:v>93.342106254358768</c:v>
                </c:pt>
                <c:pt idx="3">
                  <c:v>197.70705601975871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30-4092-970A-C4FCC6221070}"/>
            </c:ext>
          </c:extLst>
        </c:ser>
        <c:ser>
          <c:idx val="2"/>
          <c:order val="2"/>
          <c:tx>
            <c:strRef>
              <c:f>'Inventory Model'!$K$1</c:f>
              <c:strCache>
                <c:ptCount val="1"/>
                <c:pt idx="0">
                  <c:v>Reorder Point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Model'!$K$2:$K$5</c:f>
              <c:numCache>
                <c:formatCode>0</c:formatCode>
                <c:ptCount val="4"/>
                <c:pt idx="0">
                  <c:v>142.28339394242457</c:v>
                </c:pt>
                <c:pt idx="1">
                  <c:v>240.76747928706635</c:v>
                </c:pt>
                <c:pt idx="2">
                  <c:v>265.94484598038616</c:v>
                </c:pt>
                <c:pt idx="3">
                  <c:v>290.85774095126555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0-4092-970A-C4FCC622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308655"/>
        <c:axId val="1548312495"/>
      </c:lineChart>
      <c:catAx>
        <c:axId val="15483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12495"/>
        <c:crosses val="autoZero"/>
        <c:auto val="1"/>
        <c:lblAlgn val="ctr"/>
        <c:lblOffset val="100"/>
        <c:noMultiLvlLbl val="0"/>
      </c:catAx>
      <c:valAx>
        <c:axId val="154831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0865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</a:rPr>
              <a:t>PRODUCT A Demand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'Stimulated Demand'!$B$2</c:f>
              <c:strCache>
                <c:ptCount val="1"/>
                <c:pt idx="0">
                  <c:v>Demand (units)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B-40FF-A788-9CFBF5C5924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B-40FF-A788-9CFBF5C5924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B-40FF-A788-9CFBF5C5924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B-40FF-A788-9CFBF5C5924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B-40FF-A788-9CFBF5C5924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B-40FF-A788-9CFBF5C5924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3B-40FF-A788-9CFBF5C5924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3B-40FF-A788-9CFBF5C5924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3B-40FF-A788-9CFBF5C5924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3B-40FF-A788-9CFBF5C5924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73B-40FF-A788-9CFBF5C59241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73B-40FF-A788-9CFBF5C59241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73B-40FF-A788-9CFBF5C59241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73B-40FF-A788-9CFBF5C59241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73B-40FF-A788-9CFBF5C59241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73B-40FF-A788-9CFBF5C59241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73B-40FF-A788-9CFBF5C59241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73B-40FF-A788-9CFBF5C59241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73B-40FF-A788-9CFBF5C59241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373B-40FF-A788-9CFBF5C59241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373B-40FF-A788-9CFBF5C5924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373B-40FF-A788-9CFBF5C5924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373B-40FF-A788-9CFBF5C5924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373B-40FF-A788-9CFBF5C59241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373B-40FF-A788-9CFBF5C59241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373B-40FF-A788-9CFBF5C59241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373B-40FF-A788-9CFBF5C59241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373B-40FF-A788-9CFBF5C59241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373B-40FF-A788-9CFBF5C59241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373B-40FF-A788-9CFBF5C59241}"/>
              </c:ext>
            </c:extLst>
          </c:dPt>
          <c:cat>
            <c:numRef>
              <c:f>'Stimulated Demand'!$A$3:$A$32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'Stimulated Demand'!$B$3:$B$32</c:f>
              <c:numCache>
                <c:formatCode>General</c:formatCode>
                <c:ptCount val="30"/>
                <c:pt idx="0">
                  <c:v>18</c:v>
                </c:pt>
                <c:pt idx="1">
                  <c:v>10</c:v>
                </c:pt>
                <c:pt idx="2">
                  <c:v>11</c:v>
                </c:pt>
                <c:pt idx="3">
                  <c:v>18</c:v>
                </c:pt>
                <c:pt idx="4">
                  <c:v>11</c:v>
                </c:pt>
                <c:pt idx="5">
                  <c:v>16</c:v>
                </c:pt>
                <c:pt idx="6">
                  <c:v>16</c:v>
                </c:pt>
                <c:pt idx="7">
                  <c:v>18</c:v>
                </c:pt>
                <c:pt idx="8">
                  <c:v>18</c:v>
                </c:pt>
                <c:pt idx="9">
                  <c:v>14</c:v>
                </c:pt>
                <c:pt idx="10">
                  <c:v>16</c:v>
                </c:pt>
                <c:pt idx="11">
                  <c:v>14</c:v>
                </c:pt>
                <c:pt idx="12">
                  <c:v>13</c:v>
                </c:pt>
                <c:pt idx="13">
                  <c:v>16</c:v>
                </c:pt>
                <c:pt idx="14">
                  <c:v>15</c:v>
                </c:pt>
                <c:pt idx="15">
                  <c:v>14</c:v>
                </c:pt>
                <c:pt idx="16">
                  <c:v>18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14</c:v>
                </c:pt>
                <c:pt idx="21">
                  <c:v>11</c:v>
                </c:pt>
                <c:pt idx="22">
                  <c:v>12</c:v>
                </c:pt>
                <c:pt idx="23">
                  <c:v>10</c:v>
                </c:pt>
                <c:pt idx="24">
                  <c:v>15</c:v>
                </c:pt>
                <c:pt idx="25">
                  <c:v>11</c:v>
                </c:pt>
                <c:pt idx="26">
                  <c:v>11</c:v>
                </c:pt>
                <c:pt idx="27">
                  <c:v>13</c:v>
                </c:pt>
                <c:pt idx="28">
                  <c:v>16</c:v>
                </c:pt>
                <c:pt idx="29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67-4329-85BE-59D1AED77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405471"/>
        <c:axId val="1013403071"/>
      </c:lineChart>
      <c:catAx>
        <c:axId val="101340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03071"/>
        <c:crosses val="autoZero"/>
        <c:auto val="1"/>
        <c:lblAlgn val="ctr"/>
        <c:lblOffset val="100"/>
        <c:noMultiLvlLbl val="0"/>
      </c:catAx>
      <c:valAx>
        <c:axId val="1013403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Demand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0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831668</xdr:colOff>
      <xdr:row>7</xdr:row>
      <xdr:rowOff>183522</xdr:rowOff>
    </xdr:from>
    <xdr:to>
      <xdr:col>16</xdr:col>
      <xdr:colOff>522761</xdr:colOff>
      <xdr:row>9</xdr:row>
      <xdr:rowOff>153081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40638-68AE-CC28-4CBB-5358E8FC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20256" y="1797169"/>
          <a:ext cx="5069917" cy="4715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843644</xdr:colOff>
      <xdr:row>10</xdr:row>
      <xdr:rowOff>51739</xdr:rowOff>
    </xdr:from>
    <xdr:to>
      <xdr:col>12</xdr:col>
      <xdr:colOff>513842</xdr:colOff>
      <xdr:row>12</xdr:row>
      <xdr:rowOff>71502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2092AB-B16E-81AF-BBE1-94E7AA3F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2232" y="2418421"/>
          <a:ext cx="2610622" cy="4500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851326</xdr:colOff>
      <xdr:row>13</xdr:row>
      <xdr:rowOff>38486</xdr:rowOff>
    </xdr:from>
    <xdr:to>
      <xdr:col>11</xdr:col>
      <xdr:colOff>130182</xdr:colOff>
      <xdr:row>16</xdr:row>
      <xdr:rowOff>169875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C735C5-3DFF-6D4B-0F1D-823EFB73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9914" y="3014768"/>
          <a:ext cx="1511068" cy="6692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222068</xdr:colOff>
      <xdr:row>12</xdr:row>
      <xdr:rowOff>115421</xdr:rowOff>
    </xdr:from>
    <xdr:to>
      <xdr:col>4</xdr:col>
      <xdr:colOff>149134</xdr:colOff>
      <xdr:row>23</xdr:row>
      <xdr:rowOff>126851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49A929-0931-BE9A-64DF-7837B9251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897431</xdr:colOff>
      <xdr:row>7</xdr:row>
      <xdr:rowOff>138280</xdr:rowOff>
    </xdr:from>
    <xdr:to>
      <xdr:col>9</xdr:col>
      <xdr:colOff>505546</xdr:colOff>
      <xdr:row>22</xdr:row>
      <xdr:rowOff>138280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3A019F-5FB4-2127-052A-F89623371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1183341</xdr:colOff>
      <xdr:row>6</xdr:row>
      <xdr:rowOff>26894</xdr:rowOff>
    </xdr:from>
    <xdr:to>
      <xdr:col>4</xdr:col>
      <xdr:colOff>434147</xdr:colOff>
      <xdr:row>11</xdr:row>
      <xdr:rowOff>40981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DC365E9-242D-428D-8EA3-EECE77A55481}"/>
            </a:ext>
          </a:extLst>
        </xdr:cNvPr>
        <xdr:cNvSpPr/>
      </xdr:nvSpPr>
      <xdr:spPr>
        <a:xfrm>
          <a:off x="4040841" y="1446119"/>
          <a:ext cx="1841606" cy="1185662"/>
        </a:xfrm>
        <a:prstGeom prst="borderCallout1">
          <a:avLst>
            <a:gd name="adj1" fmla="val 23052"/>
            <a:gd name="adj2" fmla="val -5392"/>
            <a:gd name="adj3" fmla="val 42333"/>
            <a:gd name="adj4" fmla="val -57126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The Cell contains a list dropdown button to choose the item for which snapshot is needed.</a:t>
          </a:r>
          <a:r>
            <a:rPr lang="en-GB" sz="1100" b="1" baseline="0"/>
            <a:t> The results for the same appear below once clicked.</a:t>
          </a:r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2</xdr:row>
      <xdr:rowOff>41910</xdr:rowOff>
    </xdr:from>
    <xdr:to>
      <xdr:col>9</xdr:col>
      <xdr:colOff>274320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9E49E-05DA-9424-F380-C0785BABD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E4EF-C792-45CE-A01B-67E0F28D6C27}">
  <dimension ref="A1:L11"/>
  <sheetViews>
    <sheetView showGridLines="0" tabSelected="1" zoomScale="80" zoomScaleNormal="80" workbookViewId="0">
      <selection activeCell="B9" sqref="B9"/>
    </sheetView>
  </sheetViews>
  <sheetFormatPr defaultRowHeight="14.4" x14ac:dyDescent="0.3"/>
  <cols>
    <col min="1" max="1" width="17.77734375" bestFit="1" customWidth="1"/>
    <col min="2" max="2" width="23.88671875" bestFit="1" customWidth="1"/>
    <col min="3" max="3" width="17.5546875" bestFit="1" customWidth="1"/>
    <col min="4" max="4" width="20.33203125" bestFit="1" customWidth="1"/>
    <col min="5" max="5" width="22.44140625" bestFit="1" customWidth="1"/>
    <col min="6" max="6" width="20.44140625" bestFit="1" customWidth="1"/>
    <col min="7" max="7" width="20.21875" bestFit="1" customWidth="1"/>
    <col min="8" max="8" width="17.109375" bestFit="1" customWidth="1"/>
    <col min="9" max="9" width="12" bestFit="1" customWidth="1"/>
    <col min="10" max="10" width="15.5546875" bestFit="1" customWidth="1"/>
    <col min="11" max="11" width="17" bestFit="1" customWidth="1"/>
    <col min="12" max="12" width="10.33203125" bestFit="1" customWidth="1"/>
  </cols>
  <sheetData>
    <row r="1" spans="1:12" ht="19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7</v>
      </c>
      <c r="J1" s="2" t="s">
        <v>8</v>
      </c>
      <c r="K1" s="2" t="s">
        <v>9</v>
      </c>
      <c r="L1" s="2" t="s">
        <v>14</v>
      </c>
    </row>
    <row r="2" spans="1:12" ht="19.8" x14ac:dyDescent="0.4">
      <c r="A2" s="3" t="s">
        <v>10</v>
      </c>
      <c r="B2" s="3">
        <v>5000</v>
      </c>
      <c r="C2" s="3">
        <v>200</v>
      </c>
      <c r="D2" s="3">
        <v>10</v>
      </c>
      <c r="E2" s="3">
        <v>5</v>
      </c>
      <c r="F2" s="3">
        <v>20</v>
      </c>
      <c r="G2" s="3">
        <v>1.65</v>
      </c>
      <c r="H2" s="3">
        <v>584</v>
      </c>
      <c r="I2" s="4">
        <f>SQRT((2*B2*C2)/D2)</f>
        <v>447.21359549995793</v>
      </c>
      <c r="J2" s="4">
        <f>G2*F2*SQRT(E2)</f>
        <v>73.79024325749306</v>
      </c>
      <c r="K2" s="4">
        <f>((B2/365)*E2)+J2</f>
        <v>142.28339394242457</v>
      </c>
      <c r="L2" s="5" t="str">
        <f>IF(H2&lt;=K2,"Reorder","OK")</f>
        <v>OK</v>
      </c>
    </row>
    <row r="3" spans="1:12" ht="19.8" x14ac:dyDescent="0.4">
      <c r="A3" s="5" t="s">
        <v>11</v>
      </c>
      <c r="B3" s="5">
        <v>8500</v>
      </c>
      <c r="C3" s="5">
        <v>150</v>
      </c>
      <c r="D3" s="5">
        <v>12</v>
      </c>
      <c r="E3" s="5">
        <v>6</v>
      </c>
      <c r="F3" s="5">
        <v>25</v>
      </c>
      <c r="G3" s="5">
        <v>1.65</v>
      </c>
      <c r="H3" s="5">
        <v>230</v>
      </c>
      <c r="I3" s="4">
        <f>SQRT((2*B3*C3)/D3)</f>
        <v>460.97722286464438</v>
      </c>
      <c r="J3" s="4">
        <f>G3*F3*SQRT(E3)</f>
        <v>101.04145188980608</v>
      </c>
      <c r="K3" s="4">
        <f>((B3/365)*E3)+J3</f>
        <v>240.76747928706635</v>
      </c>
      <c r="L3" s="5" t="str">
        <f t="shared" ref="L3:L5" si="0">IF(H3&lt;=K3,"Reorder","OK")</f>
        <v>Reorder</v>
      </c>
    </row>
    <row r="4" spans="1:12" ht="19.8" x14ac:dyDescent="0.4">
      <c r="A4" s="5" t="s">
        <v>12</v>
      </c>
      <c r="B4" s="5">
        <v>9000</v>
      </c>
      <c r="C4" s="5">
        <v>100</v>
      </c>
      <c r="D4" s="5">
        <v>9</v>
      </c>
      <c r="E4" s="5">
        <v>7</v>
      </c>
      <c r="F4" s="5">
        <v>18</v>
      </c>
      <c r="G4" s="5">
        <v>1.96</v>
      </c>
      <c r="H4" s="5">
        <v>295</v>
      </c>
      <c r="I4" s="4">
        <f>SQRT((2*B4*C4)/D4)</f>
        <v>447.21359549995793</v>
      </c>
      <c r="J4" s="4">
        <f>G4*F4*SQRT(E4)</f>
        <v>93.342106254358768</v>
      </c>
      <c r="K4" s="4">
        <f>((B4/365)*E4)+J4</f>
        <v>265.94484598038616</v>
      </c>
      <c r="L4" s="5" t="str">
        <f t="shared" si="0"/>
        <v>OK</v>
      </c>
    </row>
    <row r="5" spans="1:12" ht="19.8" x14ac:dyDescent="0.4">
      <c r="A5" s="5" t="s">
        <v>13</v>
      </c>
      <c r="B5" s="5">
        <v>4250</v>
      </c>
      <c r="C5" s="5">
        <v>300</v>
      </c>
      <c r="D5" s="5">
        <v>15</v>
      </c>
      <c r="E5" s="5">
        <v>8</v>
      </c>
      <c r="F5" s="5">
        <v>30</v>
      </c>
      <c r="G5" s="5">
        <v>2.33</v>
      </c>
      <c r="H5" s="5">
        <v>215</v>
      </c>
      <c r="I5" s="4">
        <f>SQRT((2*B5*C5)/D5)</f>
        <v>412.31056256176606</v>
      </c>
      <c r="J5" s="4">
        <f>G5*F5*SQRT(E5)</f>
        <v>197.70705601975871</v>
      </c>
      <c r="K5" s="4">
        <f>((B5/365)*E5)+J5</f>
        <v>290.85774095126555</v>
      </c>
      <c r="L5" s="5" t="str">
        <f t="shared" si="0"/>
        <v>Reorder</v>
      </c>
    </row>
    <row r="8" spans="1:12" ht="19.8" x14ac:dyDescent="0.4">
      <c r="A8" s="10" t="s">
        <v>20</v>
      </c>
      <c r="B8" s="10"/>
    </row>
    <row r="9" spans="1:12" ht="19.8" x14ac:dyDescent="0.4">
      <c r="A9" s="6" t="s">
        <v>19</v>
      </c>
      <c r="B9" s="7" t="s">
        <v>10</v>
      </c>
    </row>
    <row r="10" spans="1:12" ht="19.8" x14ac:dyDescent="0.4">
      <c r="A10" s="6" t="s">
        <v>15</v>
      </c>
      <c r="B10" s="7">
        <f>INDEX($A$1:$L$5,MATCH($B$9,$A$1:$A$5,0),MATCH(A10,$A$1:$L$1,0))</f>
        <v>584</v>
      </c>
    </row>
    <row r="11" spans="1:12" ht="19.8" x14ac:dyDescent="0.4">
      <c r="A11" s="6" t="s">
        <v>14</v>
      </c>
      <c r="B11" s="7" t="str">
        <f>INDEX($A$1:$L$5,MATCH($B$9,$A$1:$A$5,0),MATCH(A11,$A$1:$L$1,0))</f>
        <v>OK</v>
      </c>
    </row>
  </sheetData>
  <mergeCells count="1">
    <mergeCell ref="A8:B8"/>
  </mergeCells>
  <conditionalFormatting sqref="L1:L1048576">
    <cfRule type="containsText" dxfId="1" priority="1" operator="containsText" text="OK">
      <formula>NOT(ISERROR(SEARCH("OK",L1)))</formula>
    </cfRule>
    <cfRule type="containsText" dxfId="0" priority="2" operator="containsText" text="Reorder">
      <formula>NOT(ISERROR(SEARCH("Reorder",L1)))</formula>
    </cfRule>
  </conditionalFormatting>
  <dataValidations count="1">
    <dataValidation type="list" allowBlank="1" showInputMessage="1" showErrorMessage="1" sqref="B9" xr:uid="{39929EFD-A9D1-42E9-A1B0-2CA0B716980A}">
      <formula1>$A$2:$A$5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9C87-5DB8-4C97-9C8E-15496501E42B}">
  <dimension ref="A1:B32"/>
  <sheetViews>
    <sheetView showGridLines="0" workbookViewId="0">
      <selection activeCell="B32" sqref="B32"/>
    </sheetView>
  </sheetViews>
  <sheetFormatPr defaultRowHeight="14.4" x14ac:dyDescent="0.3"/>
  <cols>
    <col min="2" max="2" width="17" bestFit="1" customWidth="1"/>
    <col min="3" max="3" width="16.33203125" bestFit="1" customWidth="1"/>
    <col min="4" max="4" width="14.77734375" bestFit="1" customWidth="1"/>
    <col min="5" max="5" width="14.6640625" bestFit="1" customWidth="1"/>
    <col min="6" max="6" width="12.33203125" bestFit="1" customWidth="1"/>
    <col min="7" max="7" width="7.6640625" customWidth="1"/>
    <col min="8" max="8" width="11.33203125" bestFit="1" customWidth="1"/>
    <col min="9" max="9" width="12.21875" bestFit="1" customWidth="1"/>
    <col min="10" max="10" width="6.33203125" bestFit="1" customWidth="1"/>
  </cols>
  <sheetData>
    <row r="1" spans="1:2" x14ac:dyDescent="0.3">
      <c r="A1" s="9" t="s">
        <v>18</v>
      </c>
      <c r="B1" s="9"/>
    </row>
    <row r="2" spans="1:2" x14ac:dyDescent="0.3">
      <c r="A2" s="1" t="s">
        <v>16</v>
      </c>
      <c r="B2" s="1" t="s">
        <v>17</v>
      </c>
    </row>
    <row r="3" spans="1:2" x14ac:dyDescent="0.3">
      <c r="A3" s="8">
        <v>1</v>
      </c>
      <c r="B3" s="8">
        <f ca="1">RANDBETWEEN(10,18)</f>
        <v>18</v>
      </c>
    </row>
    <row r="4" spans="1:2" x14ac:dyDescent="0.3">
      <c r="A4" s="8">
        <v>2</v>
      </c>
      <c r="B4" s="8">
        <f t="shared" ref="B4:B32" ca="1" si="0">RANDBETWEEN(10,18)</f>
        <v>10</v>
      </c>
    </row>
    <row r="5" spans="1:2" x14ac:dyDescent="0.3">
      <c r="A5" s="8">
        <v>3</v>
      </c>
      <c r="B5" s="8">
        <f t="shared" ca="1" si="0"/>
        <v>11</v>
      </c>
    </row>
    <row r="6" spans="1:2" x14ac:dyDescent="0.3">
      <c r="A6" s="8">
        <v>4</v>
      </c>
      <c r="B6" s="8">
        <f t="shared" ca="1" si="0"/>
        <v>18</v>
      </c>
    </row>
    <row r="7" spans="1:2" x14ac:dyDescent="0.3">
      <c r="A7" s="8">
        <v>5</v>
      </c>
      <c r="B7" s="8">
        <f t="shared" ca="1" si="0"/>
        <v>11</v>
      </c>
    </row>
    <row r="8" spans="1:2" x14ac:dyDescent="0.3">
      <c r="A8" s="8">
        <v>6</v>
      </c>
      <c r="B8" s="8">
        <f t="shared" ca="1" si="0"/>
        <v>16</v>
      </c>
    </row>
    <row r="9" spans="1:2" x14ac:dyDescent="0.3">
      <c r="A9" s="8">
        <v>7</v>
      </c>
      <c r="B9" s="8">
        <f t="shared" ca="1" si="0"/>
        <v>16</v>
      </c>
    </row>
    <row r="10" spans="1:2" x14ac:dyDescent="0.3">
      <c r="A10" s="8">
        <v>8</v>
      </c>
      <c r="B10" s="8">
        <f t="shared" ca="1" si="0"/>
        <v>18</v>
      </c>
    </row>
    <row r="11" spans="1:2" x14ac:dyDescent="0.3">
      <c r="A11" s="8">
        <v>9</v>
      </c>
      <c r="B11" s="8">
        <f t="shared" ca="1" si="0"/>
        <v>18</v>
      </c>
    </row>
    <row r="12" spans="1:2" x14ac:dyDescent="0.3">
      <c r="A12" s="8">
        <v>10</v>
      </c>
      <c r="B12" s="8">
        <f t="shared" ca="1" si="0"/>
        <v>14</v>
      </c>
    </row>
    <row r="13" spans="1:2" x14ac:dyDescent="0.3">
      <c r="A13" s="8">
        <v>11</v>
      </c>
      <c r="B13" s="8">
        <f t="shared" ca="1" si="0"/>
        <v>16</v>
      </c>
    </row>
    <row r="14" spans="1:2" x14ac:dyDescent="0.3">
      <c r="A14" s="8">
        <v>12</v>
      </c>
      <c r="B14" s="8">
        <f t="shared" ca="1" si="0"/>
        <v>14</v>
      </c>
    </row>
    <row r="15" spans="1:2" x14ac:dyDescent="0.3">
      <c r="A15" s="8">
        <v>13</v>
      </c>
      <c r="B15" s="8">
        <f t="shared" ca="1" si="0"/>
        <v>13</v>
      </c>
    </row>
    <row r="16" spans="1:2" x14ac:dyDescent="0.3">
      <c r="A16" s="8">
        <v>14</v>
      </c>
      <c r="B16" s="8">
        <f t="shared" ca="1" si="0"/>
        <v>16</v>
      </c>
    </row>
    <row r="17" spans="1:2" x14ac:dyDescent="0.3">
      <c r="A17" s="8">
        <v>15</v>
      </c>
      <c r="B17" s="8">
        <f t="shared" ca="1" si="0"/>
        <v>15</v>
      </c>
    </row>
    <row r="18" spans="1:2" x14ac:dyDescent="0.3">
      <c r="A18" s="8">
        <v>16</v>
      </c>
      <c r="B18" s="8">
        <f t="shared" ca="1" si="0"/>
        <v>14</v>
      </c>
    </row>
    <row r="19" spans="1:2" x14ac:dyDescent="0.3">
      <c r="A19" s="8">
        <v>17</v>
      </c>
      <c r="B19" s="8">
        <f t="shared" ca="1" si="0"/>
        <v>18</v>
      </c>
    </row>
    <row r="20" spans="1:2" x14ac:dyDescent="0.3">
      <c r="A20" s="8">
        <v>18</v>
      </c>
      <c r="B20" s="8">
        <f t="shared" ca="1" si="0"/>
        <v>14</v>
      </c>
    </row>
    <row r="21" spans="1:2" x14ac:dyDescent="0.3">
      <c r="A21" s="8">
        <v>19</v>
      </c>
      <c r="B21" s="8">
        <f t="shared" ca="1" si="0"/>
        <v>15</v>
      </c>
    </row>
    <row r="22" spans="1:2" x14ac:dyDescent="0.3">
      <c r="A22" s="8">
        <v>20</v>
      </c>
      <c r="B22" s="8">
        <f t="shared" ca="1" si="0"/>
        <v>14</v>
      </c>
    </row>
    <row r="23" spans="1:2" x14ac:dyDescent="0.3">
      <c r="A23" s="8">
        <v>21</v>
      </c>
      <c r="B23" s="8">
        <f t="shared" ca="1" si="0"/>
        <v>14</v>
      </c>
    </row>
    <row r="24" spans="1:2" x14ac:dyDescent="0.3">
      <c r="A24" s="8">
        <v>22</v>
      </c>
      <c r="B24" s="8">
        <f t="shared" ca="1" si="0"/>
        <v>11</v>
      </c>
    </row>
    <row r="25" spans="1:2" x14ac:dyDescent="0.3">
      <c r="A25" s="8">
        <v>23</v>
      </c>
      <c r="B25" s="8">
        <f t="shared" ca="1" si="0"/>
        <v>12</v>
      </c>
    </row>
    <row r="26" spans="1:2" x14ac:dyDescent="0.3">
      <c r="A26" s="8">
        <v>24</v>
      </c>
      <c r="B26" s="8">
        <f t="shared" ca="1" si="0"/>
        <v>10</v>
      </c>
    </row>
    <row r="27" spans="1:2" x14ac:dyDescent="0.3">
      <c r="A27" s="8">
        <v>25</v>
      </c>
      <c r="B27" s="8">
        <f t="shared" ca="1" si="0"/>
        <v>15</v>
      </c>
    </row>
    <row r="28" spans="1:2" x14ac:dyDescent="0.3">
      <c r="A28" s="8">
        <v>26</v>
      </c>
      <c r="B28" s="8">
        <f t="shared" ca="1" si="0"/>
        <v>11</v>
      </c>
    </row>
    <row r="29" spans="1:2" x14ac:dyDescent="0.3">
      <c r="A29" s="8">
        <v>27</v>
      </c>
      <c r="B29" s="8">
        <f t="shared" ca="1" si="0"/>
        <v>11</v>
      </c>
    </row>
    <row r="30" spans="1:2" x14ac:dyDescent="0.3">
      <c r="A30" s="8">
        <v>28</v>
      </c>
      <c r="B30" s="8">
        <f t="shared" ca="1" si="0"/>
        <v>13</v>
      </c>
    </row>
    <row r="31" spans="1:2" x14ac:dyDescent="0.3">
      <c r="A31" s="8">
        <v>29</v>
      </c>
      <c r="B31" s="8">
        <f t="shared" ca="1" si="0"/>
        <v>16</v>
      </c>
    </row>
    <row r="32" spans="1:2" x14ac:dyDescent="0.3">
      <c r="A32" s="8">
        <v>30</v>
      </c>
      <c r="B32" s="8">
        <f t="shared" ca="1" si="0"/>
        <v>16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Model</vt:lpstr>
      <vt:lpstr>Stimulated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Sewani</dc:creator>
  <cp:lastModifiedBy>Yogen Sewani</cp:lastModifiedBy>
  <dcterms:created xsi:type="dcterms:W3CDTF">2026-05-06T16:17:03Z</dcterms:created>
  <dcterms:modified xsi:type="dcterms:W3CDTF">2026-06-02T09:45:13Z</dcterms:modified>
</cp:coreProperties>
</file>